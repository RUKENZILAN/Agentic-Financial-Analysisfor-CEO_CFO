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zBCN\Downloads\"/>
    </mc:Choice>
  </mc:AlternateContent>
  <xr:revisionPtr revIDLastSave="0" documentId="13_ncr:1_{1929B5DD-BB1A-47E4-A319-CD206CFDD819}" xr6:coauthVersionLast="47" xr6:coauthVersionMax="47" xr10:uidLastSave="{00000000-0000-0000-0000-000000000000}"/>
  <bookViews>
    <workbookView xWindow="-110" yWindow="-110" windowWidth="19420" windowHeight="11500" xr2:uid="{D214EABA-A181-4CAC-9F46-AB65A8641943}"/>
  </bookViews>
  <sheets>
    <sheet name="Gelir Tablosu" sheetId="4" r:id="rId1"/>
    <sheet name="Nakit Akış" sheetId="5" r:id="rId2"/>
    <sheet name="Varlıklar" sheetId="1" r:id="rId3"/>
    <sheet name="Kaynaklar" sheetId="2" r:id="rId4"/>
    <sheet name="Dikey Analiz" sheetId="3" r:id="rId5"/>
    <sheet name="2021" sheetId="6" r:id="rId6"/>
  </sheets>
  <externalReferences>
    <externalReference r:id="rId7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6" l="1"/>
  <c r="F49" i="6"/>
  <c r="C43" i="6"/>
  <c r="C41" i="6"/>
  <c r="C39" i="6"/>
  <c r="C37" i="6"/>
  <c r="C36" i="6"/>
  <c r="C34" i="6"/>
  <c r="C33" i="6"/>
  <c r="C32" i="6"/>
  <c r="C29" i="6"/>
  <c r="C27" i="6"/>
  <c r="C26" i="6"/>
  <c r="C22" i="6"/>
  <c r="C21" i="6"/>
  <c r="C19" i="6"/>
  <c r="C18" i="6"/>
  <c r="C17" i="6"/>
  <c r="A17" i="6"/>
  <c r="C16" i="6"/>
  <c r="A16" i="6"/>
  <c r="C15" i="6"/>
  <c r="C14" i="6"/>
  <c r="C13" i="6"/>
  <c r="C12" i="6"/>
  <c r="C11" i="6"/>
  <c r="A11" i="6"/>
  <c r="C10" i="6"/>
  <c r="C9" i="6"/>
  <c r="F49" i="5"/>
  <c r="E49" i="5"/>
  <c r="D43" i="5"/>
  <c r="C43" i="5"/>
  <c r="D41" i="5"/>
  <c r="C41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28" i="5"/>
  <c r="C28" i="5"/>
  <c r="D27" i="5"/>
  <c r="C27" i="5"/>
  <c r="D26" i="5"/>
  <c r="C26" i="5"/>
  <c r="D22" i="5"/>
  <c r="C22" i="5"/>
  <c r="D21" i="5"/>
  <c r="C21" i="5"/>
  <c r="D19" i="5"/>
  <c r="C19" i="5"/>
  <c r="D18" i="5"/>
  <c r="C18" i="5"/>
  <c r="D17" i="5"/>
  <c r="C17" i="5"/>
  <c r="A17" i="5"/>
  <c r="D16" i="5"/>
  <c r="C16" i="5"/>
  <c r="A16" i="5"/>
  <c r="D15" i="5"/>
  <c r="C15" i="5"/>
  <c r="D14" i="5"/>
  <c r="C14" i="5"/>
  <c r="D13" i="5"/>
  <c r="C13" i="5"/>
  <c r="D12" i="5"/>
  <c r="C12" i="5"/>
  <c r="D11" i="5"/>
  <c r="C11" i="5"/>
  <c r="A11" i="5"/>
  <c r="D10" i="5"/>
  <c r="C10" i="5"/>
  <c r="D9" i="5"/>
  <c r="C9" i="5"/>
  <c r="D8" i="5"/>
  <c r="C8" i="5"/>
  <c r="D7" i="5"/>
  <c r="F7" i="5" s="1"/>
  <c r="C7" i="5"/>
  <c r="C20" i="5" s="1"/>
  <c r="C23" i="5" s="1"/>
  <c r="F36" i="4"/>
  <c r="E36" i="4"/>
  <c r="F33" i="4"/>
  <c r="E33" i="4"/>
  <c r="F30" i="4"/>
  <c r="E30" i="4"/>
  <c r="F29" i="4"/>
  <c r="E29" i="4"/>
  <c r="F25" i="4"/>
  <c r="E25" i="4"/>
  <c r="F24" i="4"/>
  <c r="E24" i="4"/>
  <c r="F23" i="4"/>
  <c r="E23" i="4"/>
  <c r="F21" i="4"/>
  <c r="E21" i="4"/>
  <c r="F20" i="4"/>
  <c r="E20" i="4"/>
  <c r="F19" i="4"/>
  <c r="E19" i="4"/>
  <c r="F17" i="4"/>
  <c r="E17" i="4"/>
  <c r="F16" i="4"/>
  <c r="E16" i="4"/>
  <c r="F15" i="4"/>
  <c r="E15" i="4"/>
  <c r="F13" i="4"/>
  <c r="E13" i="4"/>
  <c r="F12" i="4"/>
  <c r="E12" i="4"/>
  <c r="F11" i="4"/>
  <c r="E11" i="4"/>
  <c r="F10" i="4"/>
  <c r="E10" i="4"/>
  <c r="D9" i="4"/>
  <c r="C9" i="4"/>
  <c r="C14" i="4" s="1"/>
  <c r="F8" i="4"/>
  <c r="E8" i="4"/>
  <c r="F7" i="4"/>
  <c r="E7" i="4"/>
  <c r="C32" i="3"/>
  <c r="B32" i="3"/>
  <c r="C31" i="3"/>
  <c r="B31" i="3"/>
  <c r="C30" i="3"/>
  <c r="B30" i="3"/>
  <c r="C28" i="3"/>
  <c r="B28" i="3"/>
  <c r="C27" i="3"/>
  <c r="B27" i="3"/>
  <c r="C26" i="3"/>
  <c r="B26" i="3"/>
  <c r="C24" i="3"/>
  <c r="B24" i="3"/>
  <c r="C23" i="3"/>
  <c r="B23" i="3"/>
  <c r="C22" i="3"/>
  <c r="B22" i="3"/>
  <c r="C21" i="3"/>
  <c r="B21" i="3"/>
  <c r="C16" i="3"/>
  <c r="B16" i="3"/>
  <c r="C15" i="3"/>
  <c r="B15" i="3"/>
  <c r="C14" i="3"/>
  <c r="B14" i="3"/>
  <c r="C13" i="3"/>
  <c r="B13" i="3"/>
  <c r="C11" i="3"/>
  <c r="B11" i="3"/>
  <c r="C10" i="3"/>
  <c r="B10" i="3"/>
  <c r="C9" i="3"/>
  <c r="B9" i="3"/>
  <c r="C8" i="3"/>
  <c r="B8" i="3"/>
  <c r="C7" i="3"/>
  <c r="B7" i="3"/>
  <c r="F58" i="2"/>
  <c r="E58" i="2"/>
  <c r="D57" i="2"/>
  <c r="C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D41" i="2"/>
  <c r="C41" i="2"/>
  <c r="B25" i="3" s="1"/>
  <c r="F40" i="2"/>
  <c r="E40" i="2"/>
  <c r="F39" i="2"/>
  <c r="E39" i="2"/>
  <c r="F38" i="2"/>
  <c r="E38" i="2"/>
  <c r="F37" i="2"/>
  <c r="E37" i="2"/>
  <c r="F35" i="2"/>
  <c r="E35" i="2"/>
  <c r="F34" i="2"/>
  <c r="E34" i="2"/>
  <c r="F33" i="2"/>
  <c r="E33" i="2"/>
  <c r="F32" i="2"/>
  <c r="E32" i="2"/>
  <c r="D28" i="2"/>
  <c r="C28" i="2"/>
  <c r="F27" i="2"/>
  <c r="E27" i="2"/>
  <c r="F26" i="2"/>
  <c r="E26" i="2"/>
  <c r="F25" i="2"/>
  <c r="E25" i="2"/>
  <c r="F23" i="2"/>
  <c r="E23" i="2"/>
  <c r="F22" i="2"/>
  <c r="E22" i="2"/>
  <c r="F21" i="2"/>
  <c r="E21" i="2"/>
  <c r="F20" i="2"/>
  <c r="E20" i="2"/>
  <c r="F19" i="2"/>
  <c r="E19" i="2"/>
  <c r="F17" i="2"/>
  <c r="E17" i="2"/>
  <c r="F16" i="2"/>
  <c r="E16" i="2"/>
  <c r="F15" i="2"/>
  <c r="E15" i="2"/>
  <c r="F13" i="2"/>
  <c r="E13" i="2"/>
  <c r="F12" i="2"/>
  <c r="E12" i="2"/>
  <c r="F11" i="2"/>
  <c r="E11" i="2"/>
  <c r="F10" i="2"/>
  <c r="E10" i="2"/>
  <c r="F8" i="2"/>
  <c r="E8" i="2"/>
  <c r="D36" i="1"/>
  <c r="C36" i="1"/>
  <c r="B12" i="3" s="1"/>
  <c r="F35" i="1"/>
  <c r="E35" i="1"/>
  <c r="F34" i="1"/>
  <c r="E34" i="1"/>
  <c r="F33" i="1"/>
  <c r="E33" i="1"/>
  <c r="F32" i="1"/>
  <c r="E32" i="1"/>
  <c r="F30" i="1"/>
  <c r="E30" i="1"/>
  <c r="F29" i="1"/>
  <c r="E29" i="1"/>
  <c r="F28" i="1"/>
  <c r="E28" i="1"/>
  <c r="F27" i="1"/>
  <c r="E27" i="1"/>
  <c r="F26" i="1"/>
  <c r="E26" i="1"/>
  <c r="F25" i="1"/>
  <c r="E25" i="1"/>
  <c r="F23" i="1"/>
  <c r="E23" i="1"/>
  <c r="D20" i="1"/>
  <c r="C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1" i="1"/>
  <c r="E11" i="1"/>
  <c r="F10" i="1"/>
  <c r="E10" i="1"/>
  <c r="F8" i="1"/>
  <c r="E8" i="1"/>
  <c r="F7" i="1"/>
  <c r="E7" i="1"/>
  <c r="F41" i="5" l="1"/>
  <c r="G31" i="3"/>
  <c r="G30" i="3"/>
  <c r="G27" i="3"/>
  <c r="G26" i="3"/>
  <c r="C25" i="3"/>
  <c r="G23" i="3"/>
  <c r="G22" i="3"/>
  <c r="C20" i="3"/>
  <c r="B20" i="3"/>
  <c r="G16" i="3"/>
  <c r="G13" i="3"/>
  <c r="G11" i="3"/>
  <c r="G8" i="3"/>
  <c r="G7" i="3"/>
  <c r="C59" i="2"/>
  <c r="F57" i="2"/>
  <c r="E41" i="2"/>
  <c r="F28" i="2"/>
  <c r="E28" i="2"/>
  <c r="F36" i="5"/>
  <c r="F34" i="5"/>
  <c r="F32" i="5"/>
  <c r="F28" i="5"/>
  <c r="D29" i="5"/>
  <c r="C29" i="5"/>
  <c r="C42" i="5" s="1"/>
  <c r="C44" i="5" s="1"/>
  <c r="C50" i="5" s="1"/>
  <c r="F26" i="5"/>
  <c r="F22" i="5"/>
  <c r="E21" i="5"/>
  <c r="E19" i="5"/>
  <c r="F18" i="5"/>
  <c r="F14" i="5"/>
  <c r="F12" i="5"/>
  <c r="E12" i="5"/>
  <c r="F10" i="5"/>
  <c r="F9" i="5"/>
  <c r="F8" i="5"/>
  <c r="F43" i="5"/>
  <c r="F38" i="5"/>
  <c r="E14" i="5"/>
  <c r="F41" i="6"/>
  <c r="F22" i="6"/>
  <c r="F43" i="6"/>
  <c r="F37" i="6"/>
  <c r="F29" i="6"/>
  <c r="F21" i="6"/>
  <c r="F19" i="6"/>
  <c r="F39" i="6"/>
  <c r="F35" i="6"/>
  <c r="F34" i="6"/>
  <c r="F33" i="6"/>
  <c r="F32" i="6"/>
  <c r="F38" i="6"/>
  <c r="F27" i="6"/>
  <c r="F26" i="6"/>
  <c r="F36" i="6"/>
  <c r="F28" i="6"/>
  <c r="C20" i="6"/>
  <c r="C23" i="6" s="1"/>
  <c r="F18" i="6"/>
  <c r="F15" i="6"/>
  <c r="F14" i="6"/>
  <c r="F13" i="6"/>
  <c r="F12" i="6"/>
  <c r="F10" i="6"/>
  <c r="F9" i="6"/>
  <c r="F8" i="6"/>
  <c r="F7" i="6"/>
  <c r="F35" i="5"/>
  <c r="D39" i="5"/>
  <c r="E35" i="5"/>
  <c r="G28" i="3"/>
  <c r="G9" i="3"/>
  <c r="C38" i="1"/>
  <c r="F20" i="1"/>
  <c r="G20" i="1"/>
  <c r="B6" i="3"/>
  <c r="G14" i="3"/>
  <c r="D38" i="1"/>
  <c r="E10" i="5"/>
  <c r="E15" i="5"/>
  <c r="E27" i="5"/>
  <c r="E20" i="1"/>
  <c r="C12" i="3"/>
  <c r="H36" i="1"/>
  <c r="F33" i="5"/>
  <c r="E36" i="1"/>
  <c r="G10" i="3"/>
  <c r="G25" i="3"/>
  <c r="E8" i="5"/>
  <c r="E13" i="5"/>
  <c r="E57" i="2"/>
  <c r="G20" i="3"/>
  <c r="G32" i="3"/>
  <c r="F37" i="5"/>
  <c r="D14" i="4"/>
  <c r="F9" i="4"/>
  <c r="E9" i="4"/>
  <c r="E37" i="5"/>
  <c r="F27" i="5"/>
  <c r="G15" i="3"/>
  <c r="G24" i="3"/>
  <c r="D59" i="2"/>
  <c r="C6" i="3"/>
  <c r="F19" i="5"/>
  <c r="E33" i="5"/>
  <c r="F36" i="1"/>
  <c r="B29" i="3"/>
  <c r="F59" i="2"/>
  <c r="C18" i="4"/>
  <c r="C22" i="4" s="1"/>
  <c r="C26" i="4" s="1"/>
  <c r="C34" i="4"/>
  <c r="G21" i="3"/>
  <c r="F21" i="5"/>
  <c r="E7" i="5"/>
  <c r="E9" i="5"/>
  <c r="F13" i="5"/>
  <c r="F15" i="5"/>
  <c r="D20" i="5"/>
  <c r="E18" i="5"/>
  <c r="E22" i="5"/>
  <c r="E26" i="5"/>
  <c r="E28" i="5"/>
  <c r="E32" i="5"/>
  <c r="E34" i="5"/>
  <c r="E36" i="5"/>
  <c r="E38" i="5"/>
  <c r="E41" i="5"/>
  <c r="E43" i="5"/>
  <c r="F41" i="2"/>
  <c r="F29" i="5" l="1"/>
  <c r="E29" i="5"/>
  <c r="I20" i="1"/>
  <c r="C61" i="2"/>
  <c r="F20" i="6"/>
  <c r="C44" i="6"/>
  <c r="C50" i="6" s="1"/>
  <c r="I32" i="1"/>
  <c r="H28" i="1"/>
  <c r="H19" i="1"/>
  <c r="I14" i="1"/>
  <c r="H10" i="1"/>
  <c r="I38" i="1"/>
  <c r="I35" i="1"/>
  <c r="H32" i="1"/>
  <c r="I26" i="1"/>
  <c r="I17" i="1"/>
  <c r="H14" i="1"/>
  <c r="I7" i="1"/>
  <c r="I33" i="1"/>
  <c r="H29" i="1"/>
  <c r="I15" i="1"/>
  <c r="H35" i="1"/>
  <c r="I29" i="1"/>
  <c r="H26" i="1"/>
  <c r="H17" i="1"/>
  <c r="I11" i="1"/>
  <c r="H7" i="1"/>
  <c r="C17" i="3"/>
  <c r="I23" i="1"/>
  <c r="H11" i="1"/>
  <c r="E38" i="1"/>
  <c r="I34" i="1"/>
  <c r="H23" i="1"/>
  <c r="I28" i="1"/>
  <c r="I18" i="1"/>
  <c r="H30" i="1"/>
  <c r="H18" i="1"/>
  <c r="I10" i="1"/>
  <c r="H33" i="1"/>
  <c r="I25" i="1"/>
  <c r="H25" i="1"/>
  <c r="H34" i="1"/>
  <c r="I16" i="1"/>
  <c r="I30" i="1"/>
  <c r="H16" i="1"/>
  <c r="I13" i="1"/>
  <c r="H13" i="1"/>
  <c r="H38" i="1"/>
  <c r="I27" i="1"/>
  <c r="H15" i="1"/>
  <c r="H27" i="1"/>
  <c r="I8" i="1"/>
  <c r="H8" i="1"/>
  <c r="I19" i="1"/>
  <c r="E59" i="2"/>
  <c r="C29" i="3"/>
  <c r="D61" i="2"/>
  <c r="F39" i="5"/>
  <c r="E39" i="5"/>
  <c r="G12" i="3"/>
  <c r="G6" i="3"/>
  <c r="F20" i="5"/>
  <c r="E20" i="5"/>
  <c r="D23" i="5"/>
  <c r="E14" i="4"/>
  <c r="D34" i="4"/>
  <c r="F14" i="4"/>
  <c r="D18" i="4"/>
  <c r="I36" i="1"/>
  <c r="H20" i="1"/>
  <c r="G34" i="1"/>
  <c r="G25" i="1"/>
  <c r="G16" i="1"/>
  <c r="G7" i="1"/>
  <c r="G28" i="1"/>
  <c r="G19" i="1"/>
  <c r="G10" i="1"/>
  <c r="G26" i="1"/>
  <c r="B17" i="3"/>
  <c r="G32" i="1"/>
  <c r="G14" i="1"/>
  <c r="G35" i="1"/>
  <c r="G17" i="1"/>
  <c r="G11" i="1"/>
  <c r="G8" i="1"/>
  <c r="G30" i="1"/>
  <c r="G18" i="1"/>
  <c r="G38" i="1"/>
  <c r="G36" i="1"/>
  <c r="G23" i="1"/>
  <c r="G33" i="1"/>
  <c r="G13" i="1"/>
  <c r="G27" i="1"/>
  <c r="G29" i="1"/>
  <c r="F38" i="1"/>
  <c r="G15" i="1"/>
  <c r="B33" i="3" l="1"/>
  <c r="G59" i="2"/>
  <c r="G27" i="2"/>
  <c r="G37" i="2"/>
  <c r="G51" i="2"/>
  <c r="G25" i="2"/>
  <c r="G34" i="2"/>
  <c r="G40" i="2"/>
  <c r="G54" i="2"/>
  <c r="G52" i="2"/>
  <c r="G17" i="2"/>
  <c r="G15" i="2"/>
  <c r="G49" i="2"/>
  <c r="G58" i="2"/>
  <c r="G11" i="2"/>
  <c r="G13" i="2"/>
  <c r="G21" i="2"/>
  <c r="G23" i="2"/>
  <c r="G28" i="2"/>
  <c r="G33" i="2"/>
  <c r="G46" i="2"/>
  <c r="G57" i="2"/>
  <c r="G10" i="2"/>
  <c r="G48" i="2"/>
  <c r="G56" i="2"/>
  <c r="G16" i="2"/>
  <c r="G26" i="2"/>
  <c r="G35" i="2"/>
  <c r="G45" i="2"/>
  <c r="G53" i="2"/>
  <c r="G12" i="2"/>
  <c r="G22" i="2"/>
  <c r="G32" i="2"/>
  <c r="G50" i="2"/>
  <c r="G61" i="2"/>
  <c r="G20" i="2"/>
  <c r="G39" i="2"/>
  <c r="G8" i="2"/>
  <c r="G19" i="2"/>
  <c r="G38" i="2"/>
  <c r="G47" i="2"/>
  <c r="G41" i="2"/>
  <c r="G55" i="2"/>
  <c r="D42" i="5"/>
  <c r="D6" i="3"/>
  <c r="I59" i="2"/>
  <c r="H59" i="2"/>
  <c r="F6" i="3"/>
  <c r="F23" i="6"/>
  <c r="E18" i="4"/>
  <c r="D22" i="4"/>
  <c r="F18" i="4"/>
  <c r="F17" i="3"/>
  <c r="E17" i="3"/>
  <c r="E8" i="3"/>
  <c r="F7" i="3"/>
  <c r="F16" i="3"/>
  <c r="F11" i="3"/>
  <c r="E7" i="3"/>
  <c r="F8" i="3"/>
  <c r="G17" i="3"/>
  <c r="E16" i="3"/>
  <c r="E11" i="3"/>
  <c r="F9" i="3"/>
  <c r="E14" i="3"/>
  <c r="F15" i="3"/>
  <c r="E15" i="3"/>
  <c r="E9" i="3"/>
  <c r="E13" i="3"/>
  <c r="F14" i="3"/>
  <c r="E10" i="3"/>
  <c r="F10" i="3"/>
  <c r="F13" i="3"/>
  <c r="E34" i="4"/>
  <c r="F34" i="4"/>
  <c r="F23" i="5"/>
  <c r="E23" i="5"/>
  <c r="F12" i="3"/>
  <c r="E6" i="3"/>
  <c r="E12" i="3"/>
  <c r="D17" i="3"/>
  <c r="D11" i="3"/>
  <c r="D15" i="3"/>
  <c r="D7" i="3"/>
  <c r="D16" i="3"/>
  <c r="D12" i="3"/>
  <c r="D9" i="3"/>
  <c r="D14" i="3"/>
  <c r="D13" i="3"/>
  <c r="D10" i="3"/>
  <c r="D8" i="3"/>
  <c r="H61" i="2"/>
  <c r="I53" i="2"/>
  <c r="H50" i="2"/>
  <c r="I45" i="2"/>
  <c r="I35" i="2"/>
  <c r="H32" i="2"/>
  <c r="I26" i="2"/>
  <c r="H22" i="2"/>
  <c r="I16" i="2"/>
  <c r="H12" i="2"/>
  <c r="I46" i="2"/>
  <c r="I37" i="2"/>
  <c r="H33" i="2"/>
  <c r="I27" i="2"/>
  <c r="H13" i="2"/>
  <c r="I56" i="2"/>
  <c r="H53" i="2"/>
  <c r="I48" i="2"/>
  <c r="H45" i="2"/>
  <c r="I39" i="2"/>
  <c r="H35" i="2"/>
  <c r="H26" i="2"/>
  <c r="I20" i="2"/>
  <c r="H16" i="2"/>
  <c r="I10" i="2"/>
  <c r="I17" i="2"/>
  <c r="H56" i="2"/>
  <c r="I51" i="2"/>
  <c r="H48" i="2"/>
  <c r="H39" i="2"/>
  <c r="I33" i="2"/>
  <c r="I23" i="2"/>
  <c r="H20" i="2"/>
  <c r="I13" i="2"/>
  <c r="H10" i="2"/>
  <c r="E61" i="2"/>
  <c r="I54" i="2"/>
  <c r="H51" i="2"/>
  <c r="H23" i="2"/>
  <c r="H55" i="2"/>
  <c r="H15" i="2"/>
  <c r="I40" i="2"/>
  <c r="I11" i="2"/>
  <c r="H40" i="2"/>
  <c r="I32" i="2"/>
  <c r="I22" i="2"/>
  <c r="H58" i="2"/>
  <c r="I49" i="2"/>
  <c r="H34" i="2"/>
  <c r="H49" i="2"/>
  <c r="I28" i="2"/>
  <c r="H19" i="2"/>
  <c r="C33" i="3"/>
  <c r="I52" i="2"/>
  <c r="I50" i="2"/>
  <c r="I38" i="2"/>
  <c r="H17" i="2"/>
  <c r="I8" i="2"/>
  <c r="H52" i="2"/>
  <c r="H38" i="2"/>
  <c r="H8" i="2"/>
  <c r="I58" i="2"/>
  <c r="H54" i="2"/>
  <c r="I47" i="2"/>
  <c r="I34" i="2"/>
  <c r="I25" i="2"/>
  <c r="H11" i="2"/>
  <c r="H47" i="2"/>
  <c r="H25" i="2"/>
  <c r="I61" i="2"/>
  <c r="I41" i="2"/>
  <c r="H37" i="2"/>
  <c r="H27" i="2"/>
  <c r="I19" i="2"/>
  <c r="H41" i="2"/>
  <c r="I21" i="2"/>
  <c r="I15" i="2"/>
  <c r="I55" i="2"/>
  <c r="H21" i="2"/>
  <c r="H46" i="2"/>
  <c r="I12" i="2"/>
  <c r="H28" i="2"/>
  <c r="I57" i="2"/>
  <c r="F61" i="2"/>
  <c r="H57" i="2"/>
  <c r="G29" i="3"/>
  <c r="F29" i="3"/>
  <c r="E29" i="3"/>
  <c r="D20" i="3" l="1"/>
  <c r="D26" i="3"/>
  <c r="D24" i="3"/>
  <c r="D22" i="3"/>
  <c r="D32" i="3"/>
  <c r="D29" i="3"/>
  <c r="D21" i="3"/>
  <c r="D25" i="3"/>
  <c r="D33" i="3"/>
  <c r="D23" i="3"/>
  <c r="D30" i="3"/>
  <c r="D27" i="3"/>
  <c r="D31" i="3"/>
  <c r="D28" i="3"/>
  <c r="F42" i="5"/>
  <c r="D44" i="5"/>
  <c r="E42" i="5"/>
  <c r="F42" i="6"/>
  <c r="D50" i="5"/>
  <c r="F44" i="5"/>
  <c r="E44" i="5"/>
  <c r="D26" i="4"/>
  <c r="E22" i="4"/>
  <c r="F22" i="4"/>
  <c r="F33" i="3"/>
  <c r="G33" i="3"/>
  <c r="F30" i="3"/>
  <c r="E22" i="3"/>
  <c r="F26" i="3"/>
  <c r="E26" i="3"/>
  <c r="E30" i="3"/>
  <c r="F22" i="3"/>
  <c r="E21" i="3"/>
  <c r="E33" i="3"/>
  <c r="E20" i="3"/>
  <c r="F24" i="3"/>
  <c r="F21" i="3"/>
  <c r="F28" i="3"/>
  <c r="E28" i="3"/>
  <c r="E27" i="3"/>
  <c r="F23" i="3"/>
  <c r="F25" i="3"/>
  <c r="F20" i="3"/>
  <c r="E25" i="3"/>
  <c r="F27" i="3"/>
  <c r="F31" i="3"/>
  <c r="E32" i="3"/>
  <c r="F32" i="3"/>
  <c r="E23" i="3"/>
  <c r="E24" i="3"/>
  <c r="E31" i="3"/>
  <c r="F44" i="6" l="1"/>
  <c r="F26" i="4"/>
  <c r="E26" i="4"/>
</calcChain>
</file>

<file path=xl/sharedStrings.xml><?xml version="1.0" encoding="utf-8"?>
<sst xmlns="http://schemas.openxmlformats.org/spreadsheetml/2006/main" count="306" uniqueCount="220">
  <si>
    <t>Konsolide Finansal Durum Tablosu — Varlıklar</t>
  </si>
  <si>
    <t>Tutarlar Milyon TL olarak gösterilmiştir (aksi belirtilmedikçe)</t>
  </si>
  <si>
    <t>Kalem</t>
  </si>
  <si>
    <t>Dipnot</t>
  </si>
  <si>
    <t>31 Aralık 2024</t>
  </si>
  <si>
    <t>31 Aralık 2025</t>
  </si>
  <si>
    <t>Δ (Mn TL)</t>
  </si>
  <si>
    <t>% Değişim</t>
  </si>
  <si>
    <t>% Pay 2024</t>
  </si>
  <si>
    <t>% Pay 2025</t>
  </si>
  <si>
    <t>Δ pp</t>
  </si>
  <si>
    <t>DÖNEN VARLIKLAR</t>
  </si>
  <si>
    <t xml:space="preserve">  Nakit ve Nakit Benzerleri</t>
  </si>
  <si>
    <t xml:space="preserve">  Finansal Yatırımlar</t>
  </si>
  <si>
    <t xml:space="preserve">  Ticari Alacaklar</t>
  </si>
  <si>
    <t xml:space="preserve">    İlişkili Taraflardan Ticari Alacaklar</t>
  </si>
  <si>
    <t xml:space="preserve">    İlişkili Olmayan Taraflardan Ticari Alacaklar</t>
  </si>
  <si>
    <t xml:space="preserve">  Diğer Alacaklar</t>
  </si>
  <si>
    <t xml:space="preserve">    İlişkili Taraflardan Diğer Alacaklar</t>
  </si>
  <si>
    <t xml:space="preserve">    İlişkili Olmayan Taraflardan Diğer Alacaklar</t>
  </si>
  <si>
    <t xml:space="preserve">  Türev Araçlar</t>
  </si>
  <si>
    <t xml:space="preserve">  Stoklar</t>
  </si>
  <si>
    <t xml:space="preserve">  Peşin Ödenmiş Giderler</t>
  </si>
  <si>
    <t xml:space="preserve">  Cari Dönem Vergisiyle İlgili Varlıklar</t>
  </si>
  <si>
    <t xml:space="preserve">  Diğer Dönen Varlıklar</t>
  </si>
  <si>
    <t>TOPLAM DÖNEN VARLIKLAR</t>
  </si>
  <si>
    <t>DURAN VARLIKLAR</t>
  </si>
  <si>
    <t xml:space="preserve">  Özkaynak Yöntemiyle Değerlenen Yatırımlar</t>
  </si>
  <si>
    <t xml:space="preserve">  Yatırım Amaçlı Gayrimenkuller</t>
  </si>
  <si>
    <t xml:space="preserve">  Maddi Duran Varlıklar</t>
  </si>
  <si>
    <t xml:space="preserve">  Kullanım Hakkı Varlıkları</t>
  </si>
  <si>
    <t xml:space="preserve">  Maddi Olmayan Duran Varlıklar</t>
  </si>
  <si>
    <t xml:space="preserve">    Diğer Maddi Olmayan Duran Varlıklar</t>
  </si>
  <si>
    <t xml:space="preserve">    Şerefiye</t>
  </si>
  <si>
    <t xml:space="preserve">  Ertelenmiş Vergi Varlığı</t>
  </si>
  <si>
    <t>TOPLAM DURAN VARLIKLAR</t>
  </si>
  <si>
    <t>TOPLAM VARLIKLAR</t>
  </si>
  <si>
    <t>Kaynak: THY 31.12.2025 Konsolide Finansal Durum Tablosu (Bağımsız Denetimden Geçmiş)</t>
  </si>
  <si>
    <t>Konsolide Finansal Durum Tablosu — Kaynaklar (Yükümlülükler + Özkaynaklar)</t>
  </si>
  <si>
    <t>KISA VADELİ YÜKÜMLÜLÜKLER</t>
  </si>
  <si>
    <t xml:space="preserve">  Kısa Vadeli Borçlanmalar</t>
  </si>
  <si>
    <t xml:space="preserve">    İlişkili Olmayan Taraflardan KV Borçlanmalar - Banka Kredileri</t>
  </si>
  <si>
    <t xml:space="preserve">  UV Borçlanmaların KV Kısımları</t>
  </si>
  <si>
    <t xml:space="preserve">    İlişkili Taraflardan UV Borçlanmaların KV Kısımları - Banka Kredileri</t>
  </si>
  <si>
    <t xml:space="preserve">    İlişkili Olmayan Taraflardan UV Borçlanmaların KV Kısımları - Banka Kredileri</t>
  </si>
  <si>
    <t xml:space="preserve">    İlişkili Olmayan Taraflardan UV Borçlanmaların KV Kısımları - Kiralama İşlemlerinden Borçlanmalar</t>
  </si>
  <si>
    <t>7-18</t>
  </si>
  <si>
    <t xml:space="preserve">  Diğer Finansal Yükümlülükler</t>
  </si>
  <si>
    <t xml:space="preserve">  Ticari Borçlar</t>
  </si>
  <si>
    <t xml:space="preserve">    İlişkili Taraflara Ticari Borçlar</t>
  </si>
  <si>
    <t xml:space="preserve">    İlişkili Olmayan Taraflara Ticari Borçlar</t>
  </si>
  <si>
    <t xml:space="preserve">  Çalışanlara Sağlanan Faydalar Kapsamında Borçlar</t>
  </si>
  <si>
    <t xml:space="preserve">  Diğer Borçlar</t>
  </si>
  <si>
    <t xml:space="preserve">    İlişkili Taraflara Diğer Borçlar</t>
  </si>
  <si>
    <t xml:space="preserve">    İlişkili Olmayan Taraflara Diğer Borçlar</t>
  </si>
  <si>
    <t xml:space="preserve">  Ertelenmiş Gelirler</t>
  </si>
  <si>
    <t xml:space="preserve">  Dönem Karı Vergi Yükümlülüğü</t>
  </si>
  <si>
    <t xml:space="preserve">  Kısa Vadeli Karşılıklar</t>
  </si>
  <si>
    <t xml:space="preserve">    Çalışanlara Sağlanan Faydalara İlişkin KV Karşılıklar</t>
  </si>
  <si>
    <t xml:space="preserve">    Diğer KV Karşılıklar</t>
  </si>
  <si>
    <t xml:space="preserve">  Diğer Kısa Vadeli Yükümlülükler</t>
  </si>
  <si>
    <t>TOPLAM KISA VADELİ YÜKÜMLÜLÜKLER</t>
  </si>
  <si>
    <t>UZUN VADELİ YÜKÜMLÜLÜKLER</t>
  </si>
  <si>
    <t xml:space="preserve">  Uzun Vadeli Borçlanmalar</t>
  </si>
  <si>
    <t xml:space="preserve">    İlişkili Olmayan Taraflardan UV Borçlanmalar - Banka Kredileri</t>
  </si>
  <si>
    <t xml:space="preserve">    İlişkili Olmayan Taraflardan UV Borçlanmalar - Kiralama İşlemlerinden Borçlanmalar</t>
  </si>
  <si>
    <t xml:space="preserve">  Diğer Borçlar - İlişkili Olmayan Taraflara</t>
  </si>
  <si>
    <t xml:space="preserve">  Uzun Vadeli Karşılıklar</t>
  </si>
  <si>
    <t xml:space="preserve">    Çalışanlara Sağlanan Faydalara İlişkin UV Karşılıklar</t>
  </si>
  <si>
    <t xml:space="preserve">    Diğer UV Karşılıklar</t>
  </si>
  <si>
    <t xml:space="preserve">  Ertelenmiş Vergi Yükümlülüğü</t>
  </si>
  <si>
    <t xml:space="preserve">  Diğer Uzun Vadeli Yükümlülükler</t>
  </si>
  <si>
    <t>TOPLAM UZUN VADELİ YÜKÜMLÜLÜKLER</t>
  </si>
  <si>
    <t>ÖZKAYNAKLAR</t>
  </si>
  <si>
    <t xml:space="preserve">  Ana Ortaklığa Ait Özkaynaklar</t>
  </si>
  <si>
    <t xml:space="preserve">    Ödenmiş Sermaye</t>
  </si>
  <si>
    <t xml:space="preserve">    Sermaye Düzeltmesi Farkları</t>
  </si>
  <si>
    <t xml:space="preserve">    Geri Alınan Paylar</t>
  </si>
  <si>
    <t xml:space="preserve">    Paylara İlişkin Primler / (İskontolar)</t>
  </si>
  <si>
    <t xml:space="preserve">    Tanımlanmış Fayda Planları Yeniden Ölçüm Kayıpları</t>
  </si>
  <si>
    <t xml:space="preserve">    Yabancı Para Çevrim Farkları (Sınıflandırılmayacak)</t>
  </si>
  <si>
    <t xml:space="preserve">    Yabancı Para Çevrim Farkları (Sınıflandırılacak)</t>
  </si>
  <si>
    <t xml:space="preserve">    Riskten Korunma (Kayıpları)/Kazançları</t>
  </si>
  <si>
    <t xml:space="preserve">    Gerçeğe Uygun Değer Farkı Diğer Kapsamlı Gelire Yansıtılan Finansal Varlıklar Kazançları</t>
  </si>
  <si>
    <t xml:space="preserve">    Kardan Ayrılan Kısıtlanmış Yedekler</t>
  </si>
  <si>
    <t xml:space="preserve">    Geçmiş Yıllar Karları</t>
  </si>
  <si>
    <t xml:space="preserve">    Net Dönem Karı</t>
  </si>
  <si>
    <t>Ana ortaklığa ait özkaynaklar</t>
  </si>
  <si>
    <t xml:space="preserve">  Kontrol gücü olmayan paylar</t>
  </si>
  <si>
    <t>TOPLAM ÖZKAYNAKLAR</t>
  </si>
  <si>
    <t>TOPLAM KAYNAKLAR</t>
  </si>
  <si>
    <t>Varlık tarafı: paylar Toplam Varlıklar üzerinden | Kaynak tarafı: paylar Toplam Kaynaklar üzerinden</t>
  </si>
  <si>
    <t>2024 (Mn TL)</t>
  </si>
  <si>
    <t>2025 (Mn TL)</t>
  </si>
  <si>
    <t>% Değişim TL</t>
  </si>
  <si>
    <t>Yorum İpucu</t>
  </si>
  <si>
    <t>VARLIKLAR</t>
  </si>
  <si>
    <t>Dönen Varlıklar</t>
  </si>
  <si>
    <t>Likidite tampanı</t>
  </si>
  <si>
    <t>Hızlı erişilebilir nakit</t>
  </si>
  <si>
    <t xml:space="preserve">  Finansal Yatırımlar (KV)</t>
  </si>
  <si>
    <t>Likit yatırım</t>
  </si>
  <si>
    <t xml:space="preserve">  Ticari Alacaklar (toplam)</t>
  </si>
  <si>
    <t>Müşteri alacakları</t>
  </si>
  <si>
    <t>Yakıt + yedek parça</t>
  </si>
  <si>
    <t xml:space="preserve">  Türev Araçlar (KV)</t>
  </si>
  <si>
    <t>Hedge pozisyonları</t>
  </si>
  <si>
    <t>Duran Varlıklar</t>
  </si>
  <si>
    <t>Uzun vadeli üretim varlıkları</t>
  </si>
  <si>
    <t>Sahip olunan filo</t>
  </si>
  <si>
    <t>Kiralanan filo (IFRS 16)</t>
  </si>
  <si>
    <t xml:space="preserve">  Finansal Yatırımlar (UV)</t>
  </si>
  <si>
    <t>Stratejik yatırımlar</t>
  </si>
  <si>
    <t xml:space="preserve">  Şerefiye + Diğer Maddi Olm.</t>
  </si>
  <si>
    <t>Birleşme/marka değeri</t>
  </si>
  <si>
    <t>% 100 referans</t>
  </si>
  <si>
    <t>KAYNAKLAR</t>
  </si>
  <si>
    <t>Kısa Vadeli Yükümlülükler</t>
  </si>
  <si>
    <t>Bir yıl içinde ödenecek</t>
  </si>
  <si>
    <t xml:space="preserve">  KV Banka Kredileri (top.)</t>
  </si>
  <si>
    <t>1 yıl içinde dönen finansman</t>
  </si>
  <si>
    <t xml:space="preserve">  KV Kiralama Borçları</t>
  </si>
  <si>
    <t>1 yıl içindeki kira ödemeleri</t>
  </si>
  <si>
    <t xml:space="preserve">  Ticari Borçlar (toplam)</t>
  </si>
  <si>
    <t>Tedarikçi finansmanı</t>
  </si>
  <si>
    <t xml:space="preserve">  Ertelenmiş Gelirler (KV)</t>
  </si>
  <si>
    <t>Satılmış ama uçulmamış biletler</t>
  </si>
  <si>
    <t>Uzun Vadeli Yükümlülükler</t>
  </si>
  <si>
    <t>Yapısal kaldıraç</t>
  </si>
  <si>
    <t xml:space="preserve">  UV Banka Kredileri</t>
  </si>
  <si>
    <t>Uzun vadeli kredi</t>
  </si>
  <si>
    <t xml:space="preserve">  UV Kiralama Borçları</t>
  </si>
  <si>
    <t>Filonun kira yükü</t>
  </si>
  <si>
    <t xml:space="preserve">  UV Çalışan Karşılıkları</t>
  </si>
  <si>
    <t>Kıdem yükümlülükleri</t>
  </si>
  <si>
    <t>Özkaynaklar</t>
  </si>
  <si>
    <t>Hisse sahiplerinin payı</t>
  </si>
  <si>
    <t xml:space="preserve">  Geçmiş Yıllar Karları</t>
  </si>
  <si>
    <t>Birikmiş dağıtılmamış kâr</t>
  </si>
  <si>
    <t xml:space="preserve">  Net Dönem Karı</t>
  </si>
  <si>
    <t>Yıllık kâr</t>
  </si>
  <si>
    <t xml:space="preserve">  Yabancı Para Çevrim Farkları</t>
  </si>
  <si>
    <t>TL değer kaybı etkisi</t>
  </si>
  <si>
    <t>Renk Kodu: Yeşil = Diğer sayfaya bağlı | Siyah = Formül | Mavi (kaynak sayfalarda) = Bilançodan girilen sayı</t>
  </si>
  <si>
    <t>Δ pp = Yüzde puan değişimi (örn. %30,2'den %32,2'ye = +2,0 pp). Para birimi: Milyon TL.</t>
  </si>
  <si>
    <t>Bilançodaki sayıları 'Varlıklar' veya 'Kaynaklar' sayfasında değiştirirseniz, tüm yüzde paylar otomatik güncellenir.</t>
  </si>
  <si>
    <t>1 Ocak - 31 Aralık | Bağımsız Denetimden Geçmiş</t>
  </si>
  <si>
    <t>KÂR VEYA ZARAR KISMI</t>
  </si>
  <si>
    <t>Hasılat</t>
  </si>
  <si>
    <t>Satışların Maliyeti (-)</t>
  </si>
  <si>
    <t>BRÜT KÂR</t>
  </si>
  <si>
    <t>Genel Yönetim Giderleri (-)</t>
  </si>
  <si>
    <t>Pazarlama Giderleri (-)</t>
  </si>
  <si>
    <t>Esas Faaliyetlerden Diğer Gelirler</t>
  </si>
  <si>
    <t>Esas Faaliyetlerden Diğer Giderler (-)</t>
  </si>
  <si>
    <t>ESAS FAALİYET KÂRI</t>
  </si>
  <si>
    <t>Yatırım Faaliyetlerinden Gelirler</t>
  </si>
  <si>
    <t>Yatırım Faaliyetlerinden Giderler (-)</t>
  </si>
  <si>
    <t>Özkaynak Yöntemiyle Değerlenen Yatırımların Kârlarından Paylar</t>
  </si>
  <si>
    <t>FİNANSMAN GELİRİ ÖNCESİ FAALİYET KÂRI</t>
  </si>
  <si>
    <t>Finansman Gelirleri</t>
  </si>
  <si>
    <t>Finansman Giderleri (-)</t>
  </si>
  <si>
    <t>Net Parasal Pozisyon Kazançları</t>
  </si>
  <si>
    <t>SÜRDÜRÜLEN FAALİYETLER VERGİ ÖNCESİ KÂRI</t>
  </si>
  <si>
    <t>Sürdürülen Faaliyetler Vergi Geliri/(Gideri)</t>
  </si>
  <si>
    <t xml:space="preserve">    Dönem Vergi Gideri</t>
  </si>
  <si>
    <t xml:space="preserve">    Ertelenmiş Vergi (Gideri)/Geliri</t>
  </si>
  <si>
    <t>SÜRDÜRÜLEN FAALİYETLER DÖNEM KÂRI</t>
  </si>
  <si>
    <t>DÖNEM KÂRININ DAĞILIMI</t>
  </si>
  <si>
    <t xml:space="preserve">    Kontrol Gücü Olmayan Paylar</t>
  </si>
  <si>
    <t xml:space="preserve">    Ana Ortaklık Payları</t>
  </si>
  <si>
    <t>FAVÖK HESABI (Memorandum)</t>
  </si>
  <si>
    <t xml:space="preserve">  Amortisman ve İtfa Gideri (Nakit Akıştan)</t>
  </si>
  <si>
    <t>FAVÖK (Esas Faal. Kârı + Amortisman)</t>
  </si>
  <si>
    <t>Faiz Gideri (Net — Nakit Akıştan)</t>
  </si>
  <si>
    <t>Kaynak: THY 31.12.2025 Konsolide Kâr veya Zarar Tablosu (Bağımsız Denetimden Geçmiş)</t>
  </si>
  <si>
    <t>FAVÖK hesabı için amortisman ve faiz gideri Nakit Akış Tablosu'ndaki düzeltme kalemlerinden alınmıştır.</t>
  </si>
  <si>
    <t>1 Ocak - 31 Aralık</t>
  </si>
  <si>
    <t>A. İŞLETME FAALİYETLERİNDEN NAKİT AKIŞLARI</t>
  </si>
  <si>
    <t xml:space="preserve">  Net Dönem Kârı</t>
  </si>
  <si>
    <t xml:space="preserve">      Amortisman ve İtfa Düzeltmesi</t>
  </si>
  <si>
    <t xml:space="preserve">      Çalışan Faydaları Karşılıkları</t>
  </si>
  <si>
    <t xml:space="preserve">      Diğer Karşılıklar</t>
  </si>
  <si>
    <t xml:space="preserve">      Faiz Gelirleri (Düzeltme)</t>
  </si>
  <si>
    <t xml:space="preserve">      Faiz Giderleri (Düzeltme)</t>
  </si>
  <si>
    <t xml:space="preserve">      Yabancı Para Çevrim Farkları (Gerçekleşmemiş)</t>
  </si>
  <si>
    <t xml:space="preserve">      Türev Araç Değer Düzeltmesi</t>
  </si>
  <si>
    <t xml:space="preserve">      Vergi Gideri Düzeltmesi</t>
  </si>
  <si>
    <t xml:space="preserve">      Diğer Düzeltmeler (toplam)</t>
  </si>
  <si>
    <t xml:space="preserve">  Ara Toplam (Düzeltmeler Sonrası)</t>
  </si>
  <si>
    <t xml:space="preserve">  İşletme Sermayesi Değişimleri (net)</t>
  </si>
  <si>
    <t xml:space="preserve">  Ödemeler (Vergi + Çalışan Faydaları)</t>
  </si>
  <si>
    <t>İşletme Faaliyetlerinden Net Nakit</t>
  </si>
  <si>
    <t>B. YATIRIM FAALİYETLERİNDEN NAKİT AKIŞLARI</t>
  </si>
  <si>
    <t xml:space="preserve">  Maddi Duran Varlık Alımı (CapEx — brüt çıkış)</t>
  </si>
  <si>
    <t xml:space="preserve">  Maddi Duran Varlık Satışı (giriş)</t>
  </si>
  <si>
    <t xml:space="preserve">  Diğer Yatırım Kalemleri (net)</t>
  </si>
  <si>
    <t>Yatırım Faaliyetlerinden Net Nakit</t>
  </si>
  <si>
    <t>C. FİNANSMAN FAALİYETLERİNDEN NAKİT AKIŞLARI</t>
  </si>
  <si>
    <t xml:space="preserve">  Yeni Krediler (giriş)</t>
  </si>
  <si>
    <t xml:space="preserve">  Kredi Geri Ödemeleri (-)</t>
  </si>
  <si>
    <t xml:space="preserve">  Kira Borç Ödemeleri (-)</t>
  </si>
  <si>
    <t xml:space="preserve">  Temettü Ödemeleri (-)</t>
  </si>
  <si>
    <t xml:space="preserve">  Ödenen Faiz (-)</t>
  </si>
  <si>
    <t xml:space="preserve">  Alınan Faiz (+)</t>
  </si>
  <si>
    <t xml:space="preserve">  Diğer Finansman Kalemleri (net)</t>
  </si>
  <si>
    <t>Finansman Faaliyetlerinde Kullanılan Net Nakit</t>
  </si>
  <si>
    <t>Yabancı Para Çevrim Etkisi</t>
  </si>
  <si>
    <t>Nakit ve Nakit Benzerlerindeki Net Değişim</t>
  </si>
  <si>
    <t>Dönem Başı Nakit</t>
  </si>
  <si>
    <t>DÖNEM SONU NAKİT</t>
  </si>
  <si>
    <t>BİLANÇO ile MUTABAKAT (Memorandum)</t>
  </si>
  <si>
    <t xml:space="preserve">  Bilançodaki Nakit ve Nakit Benzerleri</t>
  </si>
  <si>
    <t>Fark (Bilanço − Nakit Akış)</t>
  </si>
  <si>
    <t>Not: Fark, 'nakit benzerleri' tanımı kapsamından kaynaklanır (vadeli mevduat vb.)</t>
  </si>
  <si>
    <t>Kaynak: THY 31.12.2025 Konsolide Nakit Akış Tablosu</t>
  </si>
  <si>
    <t>TMT A.O. — Dikey Analiz (Common-Size Bilanço)</t>
  </si>
  <si>
    <t>TMT A.O. ve BAĞLI ORTAKLIKLARI</t>
  </si>
  <si>
    <t>TMT A.O. — Konsolide Nakit Akış Tablosu (TL)</t>
  </si>
  <si>
    <t>TMT A.O. — Konsolide Gelir Tablosu (TL)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</si>
</sst>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%;\(0.0%\);\-"/>
    <numFmt numFmtId="166" formatCode="0.0&quot; pp&quot;;\(0.0&quot; pp)&quot;;\-"/>
  </numFmts>
  <fonts count="17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  <charset val="162"/>
    </font>
    <font>
      <i/>
      <sz val="10"/>
      <color rgb="FF595959"/>
      <name val="Arial"/>
      <family val="2"/>
      <charset val="162"/>
    </font>
    <font>
      <i/>
      <sz val="9"/>
      <color rgb="FF595959"/>
      <name val="Arial"/>
      <family val="2"/>
      <charset val="162"/>
    </font>
    <font>
      <b/>
      <sz val="10"/>
      <color rgb="FFFFFFFF"/>
      <name val="Arial"/>
      <family val="2"/>
      <charset val="162"/>
    </font>
    <font>
      <b/>
      <sz val="11"/>
      <color rgb="FF000000"/>
      <name val="Arial"/>
      <family val="2"/>
      <charset val="162"/>
    </font>
    <font>
      <sz val="10"/>
      <name val="Arial"/>
      <family val="2"/>
      <charset val="162"/>
    </font>
    <font>
      <sz val="10"/>
      <color rgb="FF0000FF"/>
      <name val="Arial"/>
      <family val="2"/>
      <charset val="162"/>
    </font>
    <font>
      <sz val="10"/>
      <color rgb="FF000000"/>
      <name val="Arial"/>
      <family val="2"/>
      <charset val="162"/>
    </font>
    <font>
      <b/>
      <sz val="10"/>
      <name val="Arial"/>
      <family val="2"/>
      <charset val="162"/>
    </font>
    <font>
      <b/>
      <sz val="10"/>
      <color rgb="FF000000"/>
      <name val="Arial"/>
      <family val="2"/>
      <charset val="162"/>
    </font>
    <font>
      <b/>
      <sz val="11"/>
      <color rgb="FFFFFFFF"/>
      <name val="Arial"/>
      <family val="2"/>
      <charset val="162"/>
    </font>
    <font>
      <b/>
      <sz val="10"/>
      <color rgb="FF008000"/>
      <name val="Arial"/>
      <family val="2"/>
      <charset val="162"/>
    </font>
    <font>
      <sz val="10"/>
      <color rgb="FF008000"/>
      <name val="Arial"/>
      <family val="2"/>
      <charset val="162"/>
    </font>
    <font>
      <sz val="10"/>
      <color theme="0"/>
      <name val="Arial"/>
      <family val="2"/>
      <charset val="162"/>
    </font>
    <font>
      <i/>
      <sz val="10"/>
      <name val="Arial"/>
      <family val="2"/>
      <charset val="162"/>
    </font>
    <font>
      <i/>
      <sz val="10"/>
      <color rgb="FFC00000"/>
      <name val="Arial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0" xfId="0" applyFont="1" applyFill="1"/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right"/>
    </xf>
    <xf numFmtId="165" fontId="0" fillId="4" borderId="0" xfId="0" applyNumberFormat="1" applyFill="1" applyAlignment="1">
      <alignment horizontal="right"/>
    </xf>
    <xf numFmtId="0" fontId="0" fillId="4" borderId="0" xfId="0" applyFill="1"/>
    <xf numFmtId="0" fontId="6" fillId="0" borderId="0" xfId="0" applyFont="1"/>
    <xf numFmtId="0" fontId="0" fillId="0" borderId="0" xfId="0" applyAlignment="1">
      <alignment horizontal="center"/>
    </xf>
    <xf numFmtId="164" fontId="7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0" fontId="9" fillId="0" borderId="0" xfId="0" applyFont="1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9" fillId="5" borderId="0" xfId="0" applyFont="1" applyFill="1"/>
    <xf numFmtId="0" fontId="0" fillId="5" borderId="0" xfId="0" applyFill="1"/>
    <xf numFmtId="164" fontId="10" fillId="5" borderId="0" xfId="0" applyNumberFormat="1" applyFont="1" applyFill="1" applyAlignment="1">
      <alignment horizontal="right"/>
    </xf>
    <xf numFmtId="165" fontId="0" fillId="5" borderId="0" xfId="0" applyNumberFormat="1" applyFill="1" applyAlignment="1">
      <alignment horizontal="right"/>
    </xf>
    <xf numFmtId="165" fontId="10" fillId="5" borderId="0" xfId="0" applyNumberFormat="1" applyFont="1" applyFill="1" applyAlignment="1">
      <alignment horizontal="right"/>
    </xf>
    <xf numFmtId="166" fontId="10" fillId="5" borderId="0" xfId="0" applyNumberFormat="1" applyFont="1" applyFill="1" applyAlignment="1">
      <alignment horizontal="right"/>
    </xf>
    <xf numFmtId="0" fontId="11" fillId="2" borderId="0" xfId="0" applyFont="1" applyFill="1"/>
    <xf numFmtId="0" fontId="0" fillId="2" borderId="0" xfId="0" applyFill="1"/>
    <xf numFmtId="164" fontId="11" fillId="2" borderId="0" xfId="0" applyNumberFormat="1" applyFont="1" applyFill="1" applyAlignment="1">
      <alignment horizontal="right"/>
    </xf>
    <xf numFmtId="165" fontId="11" fillId="2" borderId="0" xfId="0" applyNumberFormat="1" applyFont="1" applyFill="1" applyAlignment="1">
      <alignment horizontal="right"/>
    </xf>
    <xf numFmtId="166" fontId="11" fillId="2" borderId="0" xfId="0" applyNumberFormat="1" applyFont="1" applyFill="1" applyAlignment="1">
      <alignment horizontal="right"/>
    </xf>
    <xf numFmtId="0" fontId="3" fillId="4" borderId="0" xfId="0" applyFont="1" applyFill="1" applyAlignment="1">
      <alignment horizontal="left" vertical="center" wrapText="1"/>
    </xf>
    <xf numFmtId="164" fontId="12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left" vertical="center" wrapText="1"/>
    </xf>
    <xf numFmtId="164" fontId="13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 wrapText="1"/>
    </xf>
    <xf numFmtId="165" fontId="10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0" fontId="3" fillId="2" borderId="0" xfId="0" applyFont="1" applyFill="1" applyAlignment="1">
      <alignment horizontal="left" vertical="center" wrapText="1"/>
    </xf>
    <xf numFmtId="165" fontId="8" fillId="5" borderId="0" xfId="0" applyNumberFormat="1" applyFont="1" applyFill="1" applyAlignment="1">
      <alignment horizontal="right"/>
    </xf>
    <xf numFmtId="165" fontId="8" fillId="2" borderId="0" xfId="0" applyNumberFormat="1" applyFont="1" applyFill="1" applyAlignment="1">
      <alignment horizontal="right"/>
    </xf>
    <xf numFmtId="165" fontId="14" fillId="2" borderId="0" xfId="0" applyNumberFormat="1" applyFont="1" applyFill="1" applyAlignment="1">
      <alignment horizontal="right"/>
    </xf>
    <xf numFmtId="0" fontId="15" fillId="0" borderId="0" xfId="0" applyFont="1"/>
    <xf numFmtId="164" fontId="16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ANAN/Desktop/yenilaptopbelgeler/Laba%20Dersler/THY%20Konsolide%20Nakit%20Ak&#305;&#351;%20Tablosu%20-%202025.xlsx" TargetMode="External"/><Relationship Id="rId2" Type="http://schemas.openxmlformats.org/officeDocument/2006/relationships/externalLinkPath" Target="file:///C:\Users\CANAN\Desktop\yenilaptopbelgeler\Laba%20Dersler\THY%20Konsolide%20Nakit%20Ak&#305;&#351;%20Tablosu%20-%202025.xlsx" TargetMode="External"/><Relationship Id="rId1" Type="http://schemas.openxmlformats.org/officeDocument/2006/relationships/externalLinkPath" Target="/Users/CANAN/Desktop/yenilaptopbelgeler/Laba%20Dersler/THY%20Konsolide%20Nakit%20Ak&#305;&#351;%20Tablosu%20-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HY Konsolide Nakit Akış Tablos"/>
    </sheetNames>
    <sheetDataSet>
      <sheetData sheetId="0" refreshError="1">
        <row r="2">
          <cell r="B2">
            <v>118117</v>
          </cell>
          <cell r="C2">
            <v>113357</v>
          </cell>
        </row>
        <row r="4">
          <cell r="B4">
            <v>94682</v>
          </cell>
          <cell r="C4">
            <v>72306</v>
          </cell>
        </row>
        <row r="5">
          <cell r="B5">
            <v>3246</v>
          </cell>
          <cell r="C5">
            <v>3394</v>
          </cell>
        </row>
        <row r="6">
          <cell r="B6">
            <v>3780</v>
          </cell>
          <cell r="C6">
            <v>304</v>
          </cell>
        </row>
        <row r="7">
          <cell r="A7" t="str">
            <v>Muhtemel Riskler için Ayrılan Karşılıklar ile İlgili Düzeltmeler</v>
          </cell>
          <cell r="B7">
            <v>579</v>
          </cell>
          <cell r="C7">
            <v>-8</v>
          </cell>
        </row>
        <row r="8">
          <cell r="B8">
            <v>-51849</v>
          </cell>
          <cell r="C8">
            <v>-53453</v>
          </cell>
        </row>
        <row r="9">
          <cell r="B9">
            <v>21461</v>
          </cell>
          <cell r="C9">
            <v>21107</v>
          </cell>
        </row>
        <row r="10">
          <cell r="B10">
            <v>11038</v>
          </cell>
          <cell r="C10">
            <v>-15079</v>
          </cell>
        </row>
        <row r="11">
          <cell r="B11">
            <v>-592</v>
          </cell>
          <cell r="C11">
            <v>7612</v>
          </cell>
        </row>
        <row r="12">
          <cell r="A12" t="str">
            <v>Gerçeğe Uygun Değer Kayıpları ile İlgili Düzeltmeler</v>
          </cell>
          <cell r="C12">
            <v>2575</v>
          </cell>
        </row>
        <row r="13">
          <cell r="A13" t="str">
            <v>İştiraklerin Dağıtılmamış Karları İle İlgili Düzeltmeler</v>
          </cell>
          <cell r="B13">
            <v>-4596</v>
          </cell>
          <cell r="C13">
            <v>-5919</v>
          </cell>
        </row>
        <row r="14">
          <cell r="B14">
            <v>19461</v>
          </cell>
          <cell r="C14">
            <v>8064</v>
          </cell>
        </row>
        <row r="15">
          <cell r="B15">
            <v>-1945</v>
          </cell>
          <cell r="C15">
            <v>781</v>
          </cell>
        </row>
        <row r="16">
          <cell r="C16">
            <v>2786</v>
          </cell>
        </row>
        <row r="17">
          <cell r="B17">
            <v>-13372</v>
          </cell>
          <cell r="C17">
            <v>-8809</v>
          </cell>
        </row>
        <row r="20">
          <cell r="B20">
            <v>278</v>
          </cell>
          <cell r="C20">
            <v>231</v>
          </cell>
        </row>
        <row r="21">
          <cell r="B21">
            <v>-8117</v>
          </cell>
          <cell r="C21">
            <v>-1826</v>
          </cell>
        </row>
        <row r="22">
          <cell r="B22">
            <v>-1280</v>
          </cell>
          <cell r="C22">
            <v>-393</v>
          </cell>
        </row>
        <row r="23">
          <cell r="B23">
            <v>4628</v>
          </cell>
          <cell r="C23">
            <v>17380</v>
          </cell>
        </row>
        <row r="24">
          <cell r="B24">
            <v>-11724</v>
          </cell>
          <cell r="C24">
            <v>-8276</v>
          </cell>
        </row>
        <row r="25">
          <cell r="B25">
            <v>-17932</v>
          </cell>
          <cell r="C25">
            <v>-15297</v>
          </cell>
        </row>
        <row r="26">
          <cell r="B26">
            <v>635</v>
          </cell>
          <cell r="C26">
            <v>249</v>
          </cell>
        </row>
        <row r="27">
          <cell r="B27">
            <v>12713</v>
          </cell>
          <cell r="C27">
            <v>6333</v>
          </cell>
        </row>
        <row r="28">
          <cell r="B28">
            <v>-2701</v>
          </cell>
          <cell r="C28">
            <v>3869</v>
          </cell>
        </row>
        <row r="29">
          <cell r="B29">
            <v>1188</v>
          </cell>
          <cell r="C29">
            <v>-115</v>
          </cell>
        </row>
        <row r="30">
          <cell r="B30">
            <v>-2981</v>
          </cell>
          <cell r="C30">
            <v>2798</v>
          </cell>
        </row>
        <row r="31">
          <cell r="B31">
            <v>20013</v>
          </cell>
          <cell r="C31">
            <v>8328</v>
          </cell>
        </row>
        <row r="32">
          <cell r="B32">
            <v>-2243</v>
          </cell>
          <cell r="C32">
            <v>-3962</v>
          </cell>
        </row>
        <row r="35">
          <cell r="B35">
            <v>-562</v>
          </cell>
          <cell r="C35">
            <v>-911</v>
          </cell>
        </row>
        <row r="36">
          <cell r="B36">
            <v>-6112</v>
          </cell>
          <cell r="C36">
            <v>-952</v>
          </cell>
        </row>
        <row r="39">
          <cell r="B39">
            <v>3301</v>
          </cell>
          <cell r="C39">
            <v>464</v>
          </cell>
        </row>
        <row r="40">
          <cell r="B40">
            <v>-80117</v>
          </cell>
          <cell r="C40">
            <v>-43963</v>
          </cell>
        </row>
        <row r="41">
          <cell r="B41">
            <v>-98198</v>
          </cell>
          <cell r="C41">
            <v>39515</v>
          </cell>
        </row>
        <row r="42">
          <cell r="B42">
            <v>7089</v>
          </cell>
          <cell r="C42">
            <v>-24647</v>
          </cell>
        </row>
        <row r="43">
          <cell r="B43">
            <v>1182</v>
          </cell>
          <cell r="C43">
            <v>1330</v>
          </cell>
        </row>
        <row r="44">
          <cell r="B44">
            <v>36840</v>
          </cell>
          <cell r="C44">
            <v>37304</v>
          </cell>
        </row>
        <row r="45">
          <cell r="B45">
            <v>-14766</v>
          </cell>
        </row>
        <row r="48">
          <cell r="B48">
            <v>-273</v>
          </cell>
          <cell r="C48">
            <v>-198</v>
          </cell>
        </row>
        <row r="49">
          <cell r="B49">
            <v>43</v>
          </cell>
        </row>
        <row r="50">
          <cell r="B50">
            <v>183574</v>
          </cell>
          <cell r="C50">
            <v>90716</v>
          </cell>
        </row>
        <row r="51">
          <cell r="B51">
            <v>-147173</v>
          </cell>
          <cell r="C51">
            <v>-102308</v>
          </cell>
        </row>
        <row r="52">
          <cell r="B52">
            <v>-82311</v>
          </cell>
          <cell r="C52">
            <v>-61522</v>
          </cell>
        </row>
        <row r="53">
          <cell r="B53">
            <v>-8951</v>
          </cell>
        </row>
        <row r="54">
          <cell r="B54">
            <v>-12129</v>
          </cell>
          <cell r="C54">
            <v>-12543</v>
          </cell>
        </row>
        <row r="55">
          <cell r="B55">
            <v>17985</v>
          </cell>
          <cell r="C55">
            <v>10495</v>
          </cell>
        </row>
        <row r="56">
          <cell r="B56">
            <v>1</v>
          </cell>
        </row>
        <row r="59">
          <cell r="B59">
            <v>1109</v>
          </cell>
          <cell r="C59">
            <v>-20894</v>
          </cell>
        </row>
        <row r="61">
          <cell r="B61">
            <v>90164</v>
          </cell>
          <cell r="C61">
            <v>19941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AE692-BA82-4973-940C-1CDA8B31EB2C}">
  <dimension ref="A1:F39"/>
  <sheetViews>
    <sheetView tabSelected="1" zoomScale="152" zoomScaleNormal="100" workbookViewId="0">
      <pane xSplit="2" ySplit="5" topLeftCell="C33" activePane="bottomRight" state="frozen"/>
      <selection activeCell="D7" sqref="D7"/>
      <selection pane="topRight" activeCell="D7" sqref="D7"/>
      <selection pane="bottomLeft" activeCell="D7" sqref="D7"/>
      <selection pane="bottomRight" activeCell="A40" sqref="A40"/>
    </sheetView>
  </sheetViews>
  <sheetFormatPr defaultColWidth="8.6328125" defaultRowHeight="14.5" x14ac:dyDescent="0.35"/>
  <cols>
    <col min="1" max="1" width="55" customWidth="1"/>
    <col min="2" max="2" width="9" customWidth="1"/>
    <col min="3" max="4" width="16" customWidth="1"/>
    <col min="5" max="5" width="14" customWidth="1"/>
    <col min="6" max="6" width="12" customWidth="1"/>
  </cols>
  <sheetData>
    <row r="1" spans="1:6" ht="21.75" customHeight="1" x14ac:dyDescent="0.35">
      <c r="A1" s="40" t="s">
        <v>219</v>
      </c>
      <c r="B1" s="40"/>
      <c r="C1" s="40"/>
      <c r="D1" s="40"/>
      <c r="E1" s="40"/>
      <c r="F1" s="40"/>
    </row>
    <row r="2" spans="1:6" x14ac:dyDescent="0.35">
      <c r="A2" s="41" t="s">
        <v>146</v>
      </c>
      <c r="B2" s="41"/>
      <c r="C2" s="41"/>
      <c r="D2" s="41"/>
      <c r="E2" s="41"/>
      <c r="F2" s="41"/>
    </row>
    <row r="3" spans="1:6" x14ac:dyDescent="0.35">
      <c r="A3" s="42" t="s">
        <v>1</v>
      </c>
      <c r="B3" s="42"/>
      <c r="C3" s="42"/>
      <c r="D3" s="42"/>
      <c r="E3" s="42"/>
      <c r="F3" s="42"/>
    </row>
    <row r="5" spans="1:6" ht="27.75" customHeight="1" x14ac:dyDescent="0.35">
      <c r="A5" s="1" t="s">
        <v>2</v>
      </c>
      <c r="B5" s="1" t="s">
        <v>3</v>
      </c>
      <c r="C5" s="1" t="s">
        <v>92</v>
      </c>
      <c r="D5" s="1" t="s">
        <v>93</v>
      </c>
      <c r="E5" s="1" t="s">
        <v>6</v>
      </c>
      <c r="F5" s="1" t="s">
        <v>7</v>
      </c>
    </row>
    <row r="6" spans="1:6" x14ac:dyDescent="0.35">
      <c r="A6" s="2" t="s">
        <v>147</v>
      </c>
      <c r="B6" s="3"/>
      <c r="C6" s="4"/>
      <c r="D6" s="4"/>
      <c r="E6" s="4"/>
      <c r="F6" s="5"/>
    </row>
    <row r="7" spans="1:6" x14ac:dyDescent="0.35">
      <c r="A7" s="7" t="s">
        <v>148</v>
      </c>
      <c r="B7" s="8">
        <v>26</v>
      </c>
      <c r="C7" s="9">
        <v>745430</v>
      </c>
      <c r="D7" s="9">
        <v>955472</v>
      </c>
      <c r="E7" s="10">
        <f t="shared" ref="E7:E26" si="0">D7-C7</f>
        <v>210042</v>
      </c>
      <c r="F7" s="11">
        <f t="shared" ref="F7:F26" si="1">IFERROR((D7-C7)/ABS(C7),"")</f>
        <v>0.28177293642595547</v>
      </c>
    </row>
    <row r="8" spans="1:6" x14ac:dyDescent="0.35">
      <c r="A8" s="7" t="s">
        <v>149</v>
      </c>
      <c r="B8" s="8">
        <v>27</v>
      </c>
      <c r="C8" s="9">
        <v>-602522</v>
      </c>
      <c r="D8" s="9">
        <v>-799912</v>
      </c>
      <c r="E8" s="10">
        <f t="shared" si="0"/>
        <v>-197390</v>
      </c>
      <c r="F8" s="11">
        <f t="shared" si="1"/>
        <v>-0.3276062948738801</v>
      </c>
    </row>
    <row r="9" spans="1:6" x14ac:dyDescent="0.35">
      <c r="A9" s="16" t="s">
        <v>150</v>
      </c>
      <c r="B9" s="17"/>
      <c r="C9" s="18">
        <f>C7+C8</f>
        <v>142908</v>
      </c>
      <c r="D9" s="18">
        <f>D7+D8</f>
        <v>155560</v>
      </c>
      <c r="E9" s="18">
        <f t="shared" si="0"/>
        <v>12652</v>
      </c>
      <c r="F9" s="20">
        <f t="shared" si="1"/>
        <v>8.8532482436252696E-2</v>
      </c>
    </row>
    <row r="10" spans="1:6" x14ac:dyDescent="0.35">
      <c r="A10" s="7" t="s">
        <v>151</v>
      </c>
      <c r="B10" s="8">
        <v>28</v>
      </c>
      <c r="C10" s="9">
        <v>-18675</v>
      </c>
      <c r="D10" s="9">
        <v>-20774</v>
      </c>
      <c r="E10" s="10">
        <f t="shared" si="0"/>
        <v>-2099</v>
      </c>
      <c r="F10" s="11">
        <f t="shared" si="1"/>
        <v>-0.11239625167336011</v>
      </c>
    </row>
    <row r="11" spans="1:6" x14ac:dyDescent="0.35">
      <c r="A11" s="7" t="s">
        <v>152</v>
      </c>
      <c r="B11" s="8">
        <v>28</v>
      </c>
      <c r="C11" s="9">
        <v>-60283</v>
      </c>
      <c r="D11" s="9">
        <v>-71251</v>
      </c>
      <c r="E11" s="10">
        <f t="shared" si="0"/>
        <v>-10968</v>
      </c>
      <c r="F11" s="11">
        <f t="shared" si="1"/>
        <v>-0.1819418409833618</v>
      </c>
    </row>
    <row r="12" spans="1:6" x14ac:dyDescent="0.35">
      <c r="A12" s="7" t="s">
        <v>153</v>
      </c>
      <c r="B12" s="8">
        <v>29</v>
      </c>
      <c r="C12" s="9">
        <v>20286</v>
      </c>
      <c r="D12" s="9">
        <v>30134</v>
      </c>
      <c r="E12" s="10">
        <f t="shared" si="0"/>
        <v>9848</v>
      </c>
      <c r="F12" s="11">
        <f t="shared" si="1"/>
        <v>0.48545795129646063</v>
      </c>
    </row>
    <row r="13" spans="1:6" x14ac:dyDescent="0.35">
      <c r="A13" s="7" t="s">
        <v>154</v>
      </c>
      <c r="B13" s="8">
        <v>29</v>
      </c>
      <c r="C13" s="9">
        <v>-3843</v>
      </c>
      <c r="D13" s="9">
        <v>-3540</v>
      </c>
      <c r="E13" s="10">
        <f t="shared" si="0"/>
        <v>303</v>
      </c>
      <c r="F13" s="11">
        <f t="shared" si="1"/>
        <v>7.8844652615144423E-2</v>
      </c>
    </row>
    <row r="14" spans="1:6" x14ac:dyDescent="0.35">
      <c r="A14" s="16" t="s">
        <v>155</v>
      </c>
      <c r="B14" s="17"/>
      <c r="C14" s="18">
        <f>C9+C10+C11+C12+C13</f>
        <v>80393</v>
      </c>
      <c r="D14" s="18">
        <f>D9+D10+D11+D12+D13</f>
        <v>90129</v>
      </c>
      <c r="E14" s="18">
        <f t="shared" si="0"/>
        <v>9736</v>
      </c>
      <c r="F14" s="20">
        <f t="shared" si="1"/>
        <v>0.12110507133705671</v>
      </c>
    </row>
    <row r="15" spans="1:6" x14ac:dyDescent="0.35">
      <c r="A15" s="7" t="s">
        <v>156</v>
      </c>
      <c r="B15" s="8">
        <v>30</v>
      </c>
      <c r="C15" s="9">
        <v>55375</v>
      </c>
      <c r="D15" s="9">
        <v>57072</v>
      </c>
      <c r="E15" s="10">
        <f t="shared" si="0"/>
        <v>1697</v>
      </c>
      <c r="F15" s="11">
        <f t="shared" si="1"/>
        <v>3.0645598194130926E-2</v>
      </c>
    </row>
    <row r="16" spans="1:6" x14ac:dyDescent="0.35">
      <c r="A16" s="7" t="s">
        <v>157</v>
      </c>
      <c r="B16" s="8">
        <v>30</v>
      </c>
      <c r="C16" s="9">
        <v>-2535</v>
      </c>
      <c r="D16" s="9">
        <v>-2639</v>
      </c>
      <c r="E16" s="10">
        <f t="shared" si="0"/>
        <v>-104</v>
      </c>
      <c r="F16" s="11">
        <f t="shared" si="1"/>
        <v>-4.1025641025641026E-2</v>
      </c>
    </row>
    <row r="17" spans="1:6" x14ac:dyDescent="0.35">
      <c r="A17" s="7" t="s">
        <v>158</v>
      </c>
      <c r="B17" s="8">
        <v>3</v>
      </c>
      <c r="C17" s="9">
        <v>5919</v>
      </c>
      <c r="D17" s="9">
        <v>4596</v>
      </c>
      <c r="E17" s="10">
        <f t="shared" si="0"/>
        <v>-1323</v>
      </c>
      <c r="F17" s="11">
        <f t="shared" si="1"/>
        <v>-0.22351748606183477</v>
      </c>
    </row>
    <row r="18" spans="1:6" x14ac:dyDescent="0.35">
      <c r="A18" s="16" t="s">
        <v>159</v>
      </c>
      <c r="B18" s="17"/>
      <c r="C18" s="18">
        <f>C14+C15+C16+C17</f>
        <v>139152</v>
      </c>
      <c r="D18" s="18">
        <f>D14+D15+D16+D17</f>
        <v>149158</v>
      </c>
      <c r="E18" s="18">
        <f t="shared" si="0"/>
        <v>10006</v>
      </c>
      <c r="F18" s="20">
        <f t="shared" si="1"/>
        <v>7.1906979418190187E-2</v>
      </c>
    </row>
    <row r="19" spans="1:6" x14ac:dyDescent="0.35">
      <c r="A19" s="7" t="s">
        <v>160</v>
      </c>
      <c r="B19" s="8">
        <v>31</v>
      </c>
      <c r="C19" s="9">
        <v>32526</v>
      </c>
      <c r="D19" s="9">
        <v>30150</v>
      </c>
      <c r="E19" s="10">
        <f t="shared" si="0"/>
        <v>-2376</v>
      </c>
      <c r="F19" s="11">
        <f t="shared" si="1"/>
        <v>-7.3049252905368012E-2</v>
      </c>
    </row>
    <row r="20" spans="1:6" x14ac:dyDescent="0.35">
      <c r="A20" s="7" t="s">
        <v>161</v>
      </c>
      <c r="B20" s="8">
        <v>31</v>
      </c>
      <c r="C20" s="9">
        <v>-50335</v>
      </c>
      <c r="D20" s="9">
        <v>-41809</v>
      </c>
      <c r="E20" s="10">
        <f t="shared" si="0"/>
        <v>8526</v>
      </c>
      <c r="F20" s="11">
        <f t="shared" si="1"/>
        <v>0.16938511969802325</v>
      </c>
    </row>
    <row r="21" spans="1:6" x14ac:dyDescent="0.35">
      <c r="A21" s="7" t="s">
        <v>162</v>
      </c>
      <c r="B21" s="8">
        <v>32</v>
      </c>
      <c r="C21" s="9">
        <v>78</v>
      </c>
      <c r="D21" s="9">
        <v>79</v>
      </c>
      <c r="E21" s="10">
        <f t="shared" si="0"/>
        <v>1</v>
      </c>
      <c r="F21" s="11">
        <f t="shared" si="1"/>
        <v>1.282051282051282E-2</v>
      </c>
    </row>
    <row r="22" spans="1:6" x14ac:dyDescent="0.35">
      <c r="A22" s="16" t="s">
        <v>163</v>
      </c>
      <c r="B22" s="17"/>
      <c r="C22" s="18">
        <f>C18+C19+C20+C21</f>
        <v>121421</v>
      </c>
      <c r="D22" s="18">
        <f>D18+D19+D20+D21</f>
        <v>137578</v>
      </c>
      <c r="E22" s="18">
        <f t="shared" si="0"/>
        <v>16157</v>
      </c>
      <c r="F22" s="20">
        <f t="shared" si="1"/>
        <v>0.13306594411180933</v>
      </c>
    </row>
    <row r="23" spans="1:6" x14ac:dyDescent="0.35">
      <c r="A23" s="7" t="s">
        <v>164</v>
      </c>
      <c r="B23" s="8"/>
      <c r="C23" s="9">
        <v>-8064</v>
      </c>
      <c r="D23" s="9">
        <v>-19461</v>
      </c>
      <c r="E23" s="10">
        <f t="shared" si="0"/>
        <v>-11397</v>
      </c>
      <c r="F23" s="11">
        <f t="shared" si="1"/>
        <v>-1.4133184523809523</v>
      </c>
    </row>
    <row r="24" spans="1:6" x14ac:dyDescent="0.35">
      <c r="A24" s="7" t="s">
        <v>165</v>
      </c>
      <c r="B24" s="8">
        <v>33</v>
      </c>
      <c r="C24" s="9">
        <v>-13345</v>
      </c>
      <c r="D24" s="9">
        <v>-11524</v>
      </c>
      <c r="E24" s="10">
        <f t="shared" si="0"/>
        <v>1821</v>
      </c>
      <c r="F24" s="11">
        <f t="shared" si="1"/>
        <v>0.13645560134881979</v>
      </c>
    </row>
    <row r="25" spans="1:6" x14ac:dyDescent="0.35">
      <c r="A25" s="7" t="s">
        <v>166</v>
      </c>
      <c r="B25" s="8">
        <v>33</v>
      </c>
      <c r="C25" s="9">
        <v>5281</v>
      </c>
      <c r="D25" s="9">
        <v>-7937</v>
      </c>
      <c r="E25" s="10">
        <f t="shared" si="0"/>
        <v>-13218</v>
      </c>
      <c r="F25" s="11">
        <f t="shared" si="1"/>
        <v>-2.5029350501798904</v>
      </c>
    </row>
    <row r="26" spans="1:6" x14ac:dyDescent="0.35">
      <c r="A26" s="22" t="s">
        <v>167</v>
      </c>
      <c r="B26" s="23"/>
      <c r="C26" s="24">
        <f>C22+C23</f>
        <v>113357</v>
      </c>
      <c r="D26" s="24">
        <f>D22+D23</f>
        <v>118117</v>
      </c>
      <c r="E26" s="24">
        <f t="shared" si="0"/>
        <v>4760</v>
      </c>
      <c r="F26" s="25">
        <f t="shared" si="1"/>
        <v>4.1991231242887513E-2</v>
      </c>
    </row>
    <row r="28" spans="1:6" x14ac:dyDescent="0.35">
      <c r="A28" s="2" t="s">
        <v>168</v>
      </c>
      <c r="B28" s="3"/>
      <c r="C28" s="4"/>
      <c r="D28" s="4"/>
      <c r="E28" s="4"/>
      <c r="F28" s="5"/>
    </row>
    <row r="29" spans="1:6" x14ac:dyDescent="0.35">
      <c r="A29" s="7" t="s">
        <v>169</v>
      </c>
      <c r="B29" s="8"/>
      <c r="C29" s="9">
        <v>-21</v>
      </c>
      <c r="D29" s="9">
        <v>-91</v>
      </c>
      <c r="E29" s="10">
        <f>D29-C29</f>
        <v>-70</v>
      </c>
      <c r="F29" s="11">
        <f>IFERROR((D29-C29)/ABS(C29),"")</f>
        <v>-3.3333333333333335</v>
      </c>
    </row>
    <row r="30" spans="1:6" x14ac:dyDescent="0.35">
      <c r="A30" s="7" t="s">
        <v>170</v>
      </c>
      <c r="B30" s="8"/>
      <c r="C30" s="9">
        <v>113378</v>
      </c>
      <c r="D30" s="9">
        <v>118208</v>
      </c>
      <c r="E30" s="10">
        <f>D30-C30</f>
        <v>4830</v>
      </c>
      <c r="F30" s="11">
        <f>IFERROR((D30-C30)/ABS(C30),"")</f>
        <v>4.2600857309178147E-2</v>
      </c>
    </row>
    <row r="32" spans="1:6" x14ac:dyDescent="0.35">
      <c r="A32" s="2" t="s">
        <v>171</v>
      </c>
      <c r="B32" s="3"/>
      <c r="C32" s="4"/>
      <c r="D32" s="4"/>
      <c r="E32" s="4"/>
      <c r="F32" s="5"/>
    </row>
    <row r="33" spans="1:6" x14ac:dyDescent="0.35">
      <c r="A33" s="7" t="s">
        <v>172</v>
      </c>
      <c r="B33" s="8"/>
      <c r="C33" s="9">
        <v>72306</v>
      </c>
      <c r="D33" s="9">
        <v>94682</v>
      </c>
      <c r="E33" s="10">
        <f>D33-C33</f>
        <v>22376</v>
      </c>
      <c r="F33" s="11">
        <f>IFERROR((D33-C33)/ABS(C33),"")</f>
        <v>0.30946256188974636</v>
      </c>
    </row>
    <row r="34" spans="1:6" x14ac:dyDescent="0.35">
      <c r="A34" s="16" t="s">
        <v>173</v>
      </c>
      <c r="B34" s="17"/>
      <c r="C34" s="18">
        <f>C14+C33</f>
        <v>152699</v>
      </c>
      <c r="D34" s="18">
        <f>D14+D33</f>
        <v>184811</v>
      </c>
      <c r="E34" s="18">
        <f>D34-C34</f>
        <v>32112</v>
      </c>
      <c r="F34" s="20">
        <f>IFERROR((D34-C34)/ABS(C34),"")</f>
        <v>0.21029607266583278</v>
      </c>
    </row>
    <row r="36" spans="1:6" x14ac:dyDescent="0.35">
      <c r="A36" s="7" t="s">
        <v>174</v>
      </c>
      <c r="B36" s="8"/>
      <c r="C36" s="9">
        <v>21107</v>
      </c>
      <c r="D36" s="9">
        <v>21461</v>
      </c>
      <c r="E36" s="10">
        <f>D36-C36</f>
        <v>354</v>
      </c>
      <c r="F36" s="11">
        <f>IFERROR((D36-C36)/ABS(C36),"")</f>
        <v>1.6771687118017718E-2</v>
      </c>
    </row>
    <row r="38" spans="1:6" x14ac:dyDescent="0.35">
      <c r="A38" s="43" t="s">
        <v>175</v>
      </c>
      <c r="B38" s="43"/>
      <c r="C38" s="43"/>
      <c r="D38" s="43"/>
      <c r="E38" s="43"/>
      <c r="F38" s="43"/>
    </row>
    <row r="39" spans="1:6" x14ac:dyDescent="0.35">
      <c r="A39" s="43" t="s">
        <v>176</v>
      </c>
      <c r="B39" s="43"/>
      <c r="C39" s="43"/>
      <c r="D39" s="43"/>
      <c r="E39" s="43"/>
      <c r="F39" s="43"/>
    </row>
  </sheetData>
  <mergeCells count="5">
    <mergeCell ref="A1:F1"/>
    <mergeCell ref="A2:F2"/>
    <mergeCell ref="A3:F3"/>
    <mergeCell ref="A38:F38"/>
    <mergeCell ref="A39:F3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5640-1377-4513-9C0A-F126FC87AAF7}">
  <dimension ref="A1:F53"/>
  <sheetViews>
    <sheetView zoomScaleNormal="100" workbookViewId="0">
      <pane xSplit="2" ySplit="5" topLeftCell="D6" activePane="bottomRight" state="frozen"/>
      <selection activeCell="D7" sqref="D7"/>
      <selection pane="topRight" activeCell="D7" sqref="D7"/>
      <selection pane="bottomLeft" activeCell="D7" sqref="D7"/>
      <selection pane="bottomRight" sqref="A1:XFD1048576"/>
    </sheetView>
  </sheetViews>
  <sheetFormatPr defaultColWidth="8.6328125" defaultRowHeight="14.5" x14ac:dyDescent="0.35"/>
  <cols>
    <col min="1" max="1" width="62" customWidth="1"/>
    <col min="2" max="2" width="4" customWidth="1"/>
    <col min="3" max="4" width="16" customWidth="1"/>
    <col min="5" max="5" width="14" customWidth="1"/>
    <col min="6" max="6" width="12" customWidth="1"/>
  </cols>
  <sheetData>
    <row r="1" spans="1:6" ht="21.75" customHeight="1" x14ac:dyDescent="0.35">
      <c r="A1" s="40" t="s">
        <v>218</v>
      </c>
      <c r="B1" s="40"/>
      <c r="C1" s="40"/>
      <c r="D1" s="40"/>
      <c r="E1" s="40"/>
      <c r="F1" s="40"/>
    </row>
    <row r="2" spans="1:6" x14ac:dyDescent="0.35">
      <c r="A2" s="41" t="s">
        <v>177</v>
      </c>
      <c r="B2" s="41"/>
      <c r="C2" s="41"/>
      <c r="D2" s="41"/>
      <c r="E2" s="41"/>
      <c r="F2" s="41"/>
    </row>
    <row r="3" spans="1:6" x14ac:dyDescent="0.35">
      <c r="A3" s="42" t="s">
        <v>1</v>
      </c>
      <c r="B3" s="42"/>
      <c r="C3" s="42"/>
      <c r="D3" s="42"/>
      <c r="E3" s="42"/>
      <c r="F3" s="42"/>
    </row>
    <row r="5" spans="1:6" ht="27.75" customHeight="1" x14ac:dyDescent="0.35">
      <c r="A5" s="1" t="s">
        <v>2</v>
      </c>
      <c r="B5" s="1"/>
      <c r="C5" s="1" t="s">
        <v>92</v>
      </c>
      <c r="D5" s="1" t="s">
        <v>93</v>
      </c>
      <c r="E5" s="1" t="s">
        <v>6</v>
      </c>
      <c r="F5" s="1" t="s">
        <v>7</v>
      </c>
    </row>
    <row r="6" spans="1:6" x14ac:dyDescent="0.35">
      <c r="A6" s="2" t="s">
        <v>178</v>
      </c>
      <c r="B6" s="6"/>
      <c r="C6" s="4"/>
      <c r="D6" s="4"/>
      <c r="E6" s="4"/>
      <c r="F6" s="5"/>
    </row>
    <row r="7" spans="1:6" x14ac:dyDescent="0.35">
      <c r="A7" s="7" t="s">
        <v>179</v>
      </c>
      <c r="C7" s="9">
        <f>+'[1]THY Konsolide Nakit Akış Tablos'!$C$2</f>
        <v>113357</v>
      </c>
      <c r="D7" s="9">
        <f>+'[1]THY Konsolide Nakit Akış Tablos'!$B$2</f>
        <v>118117</v>
      </c>
      <c r="E7" s="10">
        <f t="shared" ref="E7:E23" si="0">D7-C7</f>
        <v>4760</v>
      </c>
      <c r="F7" s="11">
        <f t="shared" ref="F7:F23" si="1">IFERROR((D7-C7)/ABS(C7),"")</f>
        <v>4.1991231242887513E-2</v>
      </c>
    </row>
    <row r="8" spans="1:6" x14ac:dyDescent="0.35">
      <c r="A8" s="7" t="s">
        <v>180</v>
      </c>
      <c r="C8" s="9">
        <f>+'[1]THY Konsolide Nakit Akış Tablos'!$C$4</f>
        <v>72306</v>
      </c>
      <c r="D8" s="9">
        <f>+'[1]THY Konsolide Nakit Akış Tablos'!$B$4</f>
        <v>94682</v>
      </c>
      <c r="E8" s="10">
        <f t="shared" si="0"/>
        <v>22376</v>
      </c>
      <c r="F8" s="11">
        <f t="shared" si="1"/>
        <v>0.30946256188974636</v>
      </c>
    </row>
    <row r="9" spans="1:6" x14ac:dyDescent="0.35">
      <c r="A9" s="7" t="s">
        <v>181</v>
      </c>
      <c r="C9" s="9">
        <f>+'[1]THY Konsolide Nakit Akış Tablos'!$C$5</f>
        <v>3394</v>
      </c>
      <c r="D9" s="9">
        <f>+'[1]THY Konsolide Nakit Akış Tablos'!$B$5</f>
        <v>3246</v>
      </c>
      <c r="E9" s="10">
        <f t="shared" si="0"/>
        <v>-148</v>
      </c>
      <c r="F9" s="11">
        <f t="shared" si="1"/>
        <v>-4.3606364172068354E-2</v>
      </c>
    </row>
    <row r="10" spans="1:6" x14ac:dyDescent="0.35">
      <c r="A10" s="7" t="s">
        <v>182</v>
      </c>
      <c r="C10" s="9">
        <f>+'[1]THY Konsolide Nakit Akış Tablos'!$C$6</f>
        <v>304</v>
      </c>
      <c r="D10" s="9">
        <f>+'[1]THY Konsolide Nakit Akış Tablos'!$B$6</f>
        <v>3780</v>
      </c>
      <c r="E10" s="10">
        <f t="shared" si="0"/>
        <v>3476</v>
      </c>
      <c r="F10" s="11">
        <f t="shared" si="1"/>
        <v>11.434210526315789</v>
      </c>
    </row>
    <row r="11" spans="1:6" x14ac:dyDescent="0.35">
      <c r="A11" s="7" t="str">
        <f>+'[1]THY Konsolide Nakit Akış Tablos'!$A$7</f>
        <v>Muhtemel Riskler için Ayrılan Karşılıklar ile İlgili Düzeltmeler</v>
      </c>
      <c r="C11" s="9">
        <f>+'[1]THY Konsolide Nakit Akış Tablos'!$C$7</f>
        <v>-8</v>
      </c>
      <c r="D11" s="9">
        <f>+'[1]THY Konsolide Nakit Akış Tablos'!$B$7</f>
        <v>579</v>
      </c>
      <c r="E11" s="10"/>
      <c r="F11" s="11"/>
    </row>
    <row r="12" spans="1:6" x14ac:dyDescent="0.35">
      <c r="A12" s="7" t="s">
        <v>183</v>
      </c>
      <c r="C12" s="9">
        <f>+'[1]THY Konsolide Nakit Akış Tablos'!$C$8</f>
        <v>-53453</v>
      </c>
      <c r="D12" s="9">
        <f>+'[1]THY Konsolide Nakit Akış Tablos'!$B$8</f>
        <v>-51849</v>
      </c>
      <c r="E12" s="10">
        <f t="shared" si="0"/>
        <v>1604</v>
      </c>
      <c r="F12" s="11">
        <f t="shared" si="1"/>
        <v>3.0007670289787288E-2</v>
      </c>
    </row>
    <row r="13" spans="1:6" x14ac:dyDescent="0.35">
      <c r="A13" s="7" t="s">
        <v>184</v>
      </c>
      <c r="C13" s="9">
        <f>+'[1]THY Konsolide Nakit Akış Tablos'!$C$9</f>
        <v>21107</v>
      </c>
      <c r="D13" s="9">
        <f>+'[1]THY Konsolide Nakit Akış Tablos'!$B$9</f>
        <v>21461</v>
      </c>
      <c r="E13" s="10">
        <f t="shared" si="0"/>
        <v>354</v>
      </c>
      <c r="F13" s="11">
        <f t="shared" si="1"/>
        <v>1.6771687118017718E-2</v>
      </c>
    </row>
    <row r="14" spans="1:6" x14ac:dyDescent="0.35">
      <c r="A14" s="7" t="s">
        <v>185</v>
      </c>
      <c r="C14" s="9">
        <f>+'[1]THY Konsolide Nakit Akış Tablos'!$C$10</f>
        <v>-15079</v>
      </c>
      <c r="D14" s="9">
        <f>+'[1]THY Konsolide Nakit Akış Tablos'!$B$10</f>
        <v>11038</v>
      </c>
      <c r="E14" s="10">
        <f t="shared" si="0"/>
        <v>26117</v>
      </c>
      <c r="F14" s="11">
        <f t="shared" si="1"/>
        <v>1.732011406591949</v>
      </c>
    </row>
    <row r="15" spans="1:6" x14ac:dyDescent="0.35">
      <c r="A15" s="7" t="s">
        <v>186</v>
      </c>
      <c r="C15" s="9">
        <f>+'[1]THY Konsolide Nakit Akış Tablos'!$C$11</f>
        <v>7612</v>
      </c>
      <c r="D15" s="9">
        <f>+'[1]THY Konsolide Nakit Akış Tablos'!$B$11</f>
        <v>-592</v>
      </c>
      <c r="E15" s="10">
        <f t="shared" si="0"/>
        <v>-8204</v>
      </c>
      <c r="F15" s="11">
        <f t="shared" si="1"/>
        <v>-1.0777719390436153</v>
      </c>
    </row>
    <row r="16" spans="1:6" x14ac:dyDescent="0.35">
      <c r="A16" s="7" t="str">
        <f>+'[1]THY Konsolide Nakit Akış Tablos'!$A$12</f>
        <v>Gerçeğe Uygun Değer Kayıpları ile İlgili Düzeltmeler</v>
      </c>
      <c r="C16" s="9">
        <f>+'[1]THY Konsolide Nakit Akış Tablos'!$C$12</f>
        <v>2575</v>
      </c>
      <c r="D16" s="9" t="e">
        <f>+'[1]THY Konsolide Nakit Akış Tablos'!$B$12</f>
        <v>#REF!</v>
      </c>
      <c r="E16" s="10"/>
      <c r="F16" s="11"/>
    </row>
    <row r="17" spans="1:6" x14ac:dyDescent="0.35">
      <c r="A17" s="7" t="str">
        <f>+'[1]THY Konsolide Nakit Akış Tablos'!$A$13</f>
        <v>İştiraklerin Dağıtılmamış Karları İle İlgili Düzeltmeler</v>
      </c>
      <c r="C17" s="9">
        <f>+'[1]THY Konsolide Nakit Akış Tablos'!$C$13</f>
        <v>-5919</v>
      </c>
      <c r="D17" s="9">
        <f>+'[1]THY Konsolide Nakit Akış Tablos'!$B$13</f>
        <v>-4596</v>
      </c>
      <c r="E17" s="10"/>
      <c r="F17" s="11"/>
    </row>
    <row r="18" spans="1:6" x14ac:dyDescent="0.35">
      <c r="A18" s="7" t="s">
        <v>187</v>
      </c>
      <c r="C18" s="9">
        <f>+'[1]THY Konsolide Nakit Akış Tablos'!$C$14</f>
        <v>8064</v>
      </c>
      <c r="D18" s="9">
        <f>+'[1]THY Konsolide Nakit Akış Tablos'!$B$14</f>
        <v>19461</v>
      </c>
      <c r="E18" s="10">
        <f t="shared" si="0"/>
        <v>11397</v>
      </c>
      <c r="F18" s="11">
        <f t="shared" si="1"/>
        <v>1.4133184523809523</v>
      </c>
    </row>
    <row r="19" spans="1:6" x14ac:dyDescent="0.35">
      <c r="A19" s="7" t="s">
        <v>188</v>
      </c>
      <c r="C19" s="9">
        <f>+'[1]THY Konsolide Nakit Akış Tablos'!$C$15+'[1]THY Konsolide Nakit Akış Tablos'!$C$17+'[1]THY Konsolide Nakit Akış Tablos'!$C$16</f>
        <v>-5242</v>
      </c>
      <c r="D19" s="9" t="e">
        <f>+'[1]THY Konsolide Nakit Akış Tablos'!$B$15+'[1]THY Konsolide Nakit Akış Tablos'!$B$17+'[1]THY Konsolide Nakit Akış Tablos'!$B$16</f>
        <v>#REF!</v>
      </c>
      <c r="E19" s="10" t="e">
        <f t="shared" si="0"/>
        <v>#REF!</v>
      </c>
      <c r="F19" s="11" t="str">
        <f t="shared" si="1"/>
        <v/>
      </c>
    </row>
    <row r="20" spans="1:6" x14ac:dyDescent="0.35">
      <c r="A20" s="16" t="s">
        <v>189</v>
      </c>
      <c r="B20" s="17"/>
      <c r="C20" s="18">
        <f>SUM(C7:C19)</f>
        <v>149018</v>
      </c>
      <c r="D20" s="18" t="e">
        <f>SUM(D7:D19)</f>
        <v>#REF!</v>
      </c>
      <c r="E20" s="18" t="e">
        <f t="shared" si="0"/>
        <v>#REF!</v>
      </c>
      <c r="F20" s="35" t="str">
        <f t="shared" si="1"/>
        <v/>
      </c>
    </row>
    <row r="21" spans="1:6" x14ac:dyDescent="0.35">
      <c r="A21" s="7" t="s">
        <v>190</v>
      </c>
      <c r="C21" s="9">
        <f>SUM('[1]THY Konsolide Nakit Akış Tablos'!$C$20:$C$32)</f>
        <v>9319</v>
      </c>
      <c r="D21" s="9">
        <f>SUM('[1]THY Konsolide Nakit Akış Tablos'!$B$20:$B$32)</f>
        <v>-7523</v>
      </c>
      <c r="E21" s="10">
        <f t="shared" si="0"/>
        <v>-16842</v>
      </c>
      <c r="F21" s="11">
        <f t="shared" si="1"/>
        <v>-1.8072754587402082</v>
      </c>
    </row>
    <row r="22" spans="1:6" x14ac:dyDescent="0.35">
      <c r="A22" s="7" t="s">
        <v>191</v>
      </c>
      <c r="C22" s="9">
        <f>SUM('[1]THY Konsolide Nakit Akış Tablos'!$C$35:$C$36)</f>
        <v>-1863</v>
      </c>
      <c r="D22" s="9">
        <f>SUM('[1]THY Konsolide Nakit Akış Tablos'!$B$35:$B$36)</f>
        <v>-6674</v>
      </c>
      <c r="E22" s="10">
        <f t="shared" si="0"/>
        <v>-4811</v>
      </c>
      <c r="F22" s="11">
        <f t="shared" si="1"/>
        <v>-2.5823939881910896</v>
      </c>
    </row>
    <row r="23" spans="1:6" x14ac:dyDescent="0.35">
      <c r="A23" s="22" t="s">
        <v>192</v>
      </c>
      <c r="B23" s="23"/>
      <c r="C23" s="24">
        <f>SUM(C20:C22)</f>
        <v>156474</v>
      </c>
      <c r="D23" s="24" t="e">
        <f>SUM(D20:D22)</f>
        <v>#REF!</v>
      </c>
      <c r="E23" s="24" t="e">
        <f t="shared" si="0"/>
        <v>#REF!</v>
      </c>
      <c r="F23" s="36" t="str">
        <f t="shared" si="1"/>
        <v/>
      </c>
    </row>
    <row r="25" spans="1:6" x14ac:dyDescent="0.35">
      <c r="A25" s="2" t="s">
        <v>193</v>
      </c>
      <c r="B25" s="6"/>
      <c r="C25" s="4"/>
      <c r="D25" s="4"/>
      <c r="E25" s="4"/>
      <c r="F25" s="5"/>
    </row>
    <row r="26" spans="1:6" x14ac:dyDescent="0.35">
      <c r="A26" s="7" t="s">
        <v>194</v>
      </c>
      <c r="C26" s="9">
        <f>+'[1]THY Konsolide Nakit Akış Tablos'!$C$40</f>
        <v>-43963</v>
      </c>
      <c r="D26" s="9">
        <f>+'[1]THY Konsolide Nakit Akış Tablos'!$B$40</f>
        <v>-80117</v>
      </c>
      <c r="E26" s="10">
        <f>D26-C26</f>
        <v>-36154</v>
      </c>
      <c r="F26" s="11">
        <f>IFERROR((D26-C26)/ABS(C26),"")</f>
        <v>-0.82237335941587242</v>
      </c>
    </row>
    <row r="27" spans="1:6" x14ac:dyDescent="0.35">
      <c r="A27" s="7" t="s">
        <v>195</v>
      </c>
      <c r="C27" s="9">
        <f>+'[1]THY Konsolide Nakit Akış Tablos'!$C$39</f>
        <v>464</v>
      </c>
      <c r="D27" s="9">
        <f>+'[1]THY Konsolide Nakit Akış Tablos'!$B$39</f>
        <v>3301</v>
      </c>
      <c r="E27" s="10">
        <f>D27-C27</f>
        <v>2837</v>
      </c>
      <c r="F27" s="11">
        <f>IFERROR((D27-C27)/ABS(C27),"")</f>
        <v>6.1142241379310347</v>
      </c>
    </row>
    <row r="28" spans="1:6" x14ac:dyDescent="0.35">
      <c r="A28" s="7" t="s">
        <v>196</v>
      </c>
      <c r="C28" s="9" t="e">
        <f>+'[1]THY Konsolide Nakit Akış Tablos'!$C$41+'[1]THY Konsolide Nakit Akış Tablos'!$C$42+'[1]THY Konsolide Nakit Akış Tablos'!$C$43+'[1]THY Konsolide Nakit Akış Tablos'!$C$44+'[1]THY Konsolide Nakit Akış Tablos'!$C$45</f>
        <v>#REF!</v>
      </c>
      <c r="D28" s="9">
        <f>+'[1]THY Konsolide Nakit Akış Tablos'!$B$41+'[1]THY Konsolide Nakit Akış Tablos'!$B$42+'[1]THY Konsolide Nakit Akış Tablos'!$B$43+'[1]THY Konsolide Nakit Akış Tablos'!$B$44+'[1]THY Konsolide Nakit Akış Tablos'!$B$45</f>
        <v>-67853</v>
      </c>
      <c r="E28" s="10" t="e">
        <f>D28-C28</f>
        <v>#REF!</v>
      </c>
      <c r="F28" s="11" t="str">
        <f>IFERROR((D28-C28)/ABS(C28),"")</f>
        <v/>
      </c>
    </row>
    <row r="29" spans="1:6" x14ac:dyDescent="0.35">
      <c r="A29" s="22" t="s">
        <v>197</v>
      </c>
      <c r="B29" s="23"/>
      <c r="C29" s="24" t="e">
        <f>SUM(C26:C28)</f>
        <v>#REF!</v>
      </c>
      <c r="D29" s="24">
        <f>SUM(D26:D28)</f>
        <v>-144669</v>
      </c>
      <c r="E29" s="24" t="e">
        <f>D29-C29</f>
        <v>#REF!</v>
      </c>
      <c r="F29" s="36" t="str">
        <f>IFERROR((D29-C29)/ABS(C29),"")</f>
        <v/>
      </c>
    </row>
    <row r="31" spans="1:6" x14ac:dyDescent="0.35">
      <c r="A31" s="2" t="s">
        <v>198</v>
      </c>
      <c r="B31" s="6"/>
      <c r="C31" s="4"/>
      <c r="D31" s="4"/>
      <c r="E31" s="4"/>
      <c r="F31" s="5"/>
    </row>
    <row r="32" spans="1:6" x14ac:dyDescent="0.35">
      <c r="A32" s="7" t="s">
        <v>199</v>
      </c>
      <c r="C32" s="9">
        <f>+'[1]THY Konsolide Nakit Akış Tablos'!$C$50</f>
        <v>90716</v>
      </c>
      <c r="D32" s="9">
        <f>+'[1]THY Konsolide Nakit Akış Tablos'!$B$50</f>
        <v>183574</v>
      </c>
      <c r="E32" s="10">
        <f t="shared" ref="E32:E39" si="2">D32-C32</f>
        <v>92858</v>
      </c>
      <c r="F32" s="11">
        <f t="shared" ref="F32:F39" si="3">IFERROR((D32-C32)/ABS(C32),"")</f>
        <v>1.0236121522112969</v>
      </c>
    </row>
    <row r="33" spans="1:6" x14ac:dyDescent="0.35">
      <c r="A33" s="7" t="s">
        <v>200</v>
      </c>
      <c r="C33" s="9">
        <f>+'[1]THY Konsolide Nakit Akış Tablos'!$C$51</f>
        <v>-102308</v>
      </c>
      <c r="D33" s="9">
        <f>+'[1]THY Konsolide Nakit Akış Tablos'!$B$51</f>
        <v>-147173</v>
      </c>
      <c r="E33" s="10">
        <f t="shared" si="2"/>
        <v>-44865</v>
      </c>
      <c r="F33" s="11">
        <f t="shared" si="3"/>
        <v>-0.43852875630449234</v>
      </c>
    </row>
    <row r="34" spans="1:6" x14ac:dyDescent="0.35">
      <c r="A34" s="7" t="s">
        <v>201</v>
      </c>
      <c r="C34" s="9">
        <f>+'[1]THY Konsolide Nakit Akış Tablos'!$C$52</f>
        <v>-61522</v>
      </c>
      <c r="D34" s="9">
        <f>+'[1]THY Konsolide Nakit Akış Tablos'!$B$52</f>
        <v>-82311</v>
      </c>
      <c r="E34" s="10">
        <f t="shared" si="2"/>
        <v>-20789</v>
      </c>
      <c r="F34" s="11">
        <f t="shared" si="3"/>
        <v>-0.33791164136406487</v>
      </c>
    </row>
    <row r="35" spans="1:6" x14ac:dyDescent="0.35">
      <c r="A35" s="7" t="s">
        <v>202</v>
      </c>
      <c r="C35" s="9" t="e">
        <f>+'[1]THY Konsolide Nakit Akış Tablos'!$C$53</f>
        <v>#REF!</v>
      </c>
      <c r="D35" s="9">
        <f>+'[1]THY Konsolide Nakit Akış Tablos'!$B$53</f>
        <v>-8951</v>
      </c>
      <c r="E35" s="10" t="e">
        <f t="shared" si="2"/>
        <v>#REF!</v>
      </c>
      <c r="F35" s="11" t="str">
        <f t="shared" si="3"/>
        <v/>
      </c>
    </row>
    <row r="36" spans="1:6" x14ac:dyDescent="0.35">
      <c r="A36" s="7" t="s">
        <v>203</v>
      </c>
      <c r="C36" s="9">
        <f>+'[1]THY Konsolide Nakit Akış Tablos'!$C$54</f>
        <v>-12543</v>
      </c>
      <c r="D36" s="9">
        <f>+'[1]THY Konsolide Nakit Akış Tablos'!$B$54</f>
        <v>-12129</v>
      </c>
      <c r="E36" s="10">
        <f t="shared" si="2"/>
        <v>414</v>
      </c>
      <c r="F36" s="11">
        <f t="shared" si="3"/>
        <v>3.3006457785218844E-2</v>
      </c>
    </row>
    <row r="37" spans="1:6" x14ac:dyDescent="0.35">
      <c r="A37" s="7" t="s">
        <v>204</v>
      </c>
      <c r="C37" s="9">
        <f>+'[1]THY Konsolide Nakit Akış Tablos'!$C$55</f>
        <v>10495</v>
      </c>
      <c r="D37" s="9">
        <f>+'[1]THY Konsolide Nakit Akış Tablos'!$B$55</f>
        <v>17985</v>
      </c>
      <c r="E37" s="10">
        <f t="shared" si="2"/>
        <v>7490</v>
      </c>
      <c r="F37" s="11">
        <f t="shared" si="3"/>
        <v>0.71367317770366845</v>
      </c>
    </row>
    <row r="38" spans="1:6" x14ac:dyDescent="0.35">
      <c r="A38" s="7" t="s">
        <v>205</v>
      </c>
      <c r="C38" s="9" t="e">
        <f>+'[1]THY Konsolide Nakit Akış Tablos'!$C$56+'[1]THY Konsolide Nakit Akış Tablos'!$C$48+'[1]THY Konsolide Nakit Akış Tablos'!$C$49</f>
        <v>#REF!</v>
      </c>
      <c r="D38" s="9">
        <f>+'[1]THY Konsolide Nakit Akış Tablos'!$B$56+'[1]THY Konsolide Nakit Akış Tablos'!$B$48+'[1]THY Konsolide Nakit Akış Tablos'!$B$49</f>
        <v>-229</v>
      </c>
      <c r="E38" s="10" t="e">
        <f t="shared" si="2"/>
        <v>#REF!</v>
      </c>
      <c r="F38" s="11" t="str">
        <f t="shared" si="3"/>
        <v/>
      </c>
    </row>
    <row r="39" spans="1:6" x14ac:dyDescent="0.35">
      <c r="A39" s="22" t="s">
        <v>206</v>
      </c>
      <c r="B39" s="23"/>
      <c r="C39" s="24" t="e">
        <f>SUM(C32:C38)</f>
        <v>#REF!</v>
      </c>
      <c r="D39" s="24">
        <f>SUM(D32:D38)</f>
        <v>-49234</v>
      </c>
      <c r="E39" s="24" t="e">
        <f t="shared" si="2"/>
        <v>#REF!</v>
      </c>
      <c r="F39" s="37" t="str">
        <f t="shared" si="3"/>
        <v/>
      </c>
    </row>
    <row r="41" spans="1:6" x14ac:dyDescent="0.35">
      <c r="A41" s="7" t="s">
        <v>207</v>
      </c>
      <c r="C41" s="9">
        <f>+'[1]THY Konsolide Nakit Akış Tablos'!$C$59</f>
        <v>-20894</v>
      </c>
      <c r="D41" s="9">
        <f>+'[1]THY Konsolide Nakit Akış Tablos'!$B$59</f>
        <v>1109</v>
      </c>
      <c r="E41" s="10">
        <f>D41-C41</f>
        <v>22003</v>
      </c>
      <c r="F41" s="11">
        <f>IFERROR((D41-C41)/ABS(C41),"")</f>
        <v>1.0530774384990906</v>
      </c>
    </row>
    <row r="42" spans="1:6" x14ac:dyDescent="0.35">
      <c r="A42" s="16" t="s">
        <v>208</v>
      </c>
      <c r="B42" s="17"/>
      <c r="C42" s="18" t="e">
        <f>+C41+C39+C29+C23</f>
        <v>#REF!</v>
      </c>
      <c r="D42" s="18" t="e">
        <f>+D41+D39+D29+D23</f>
        <v>#REF!</v>
      </c>
      <c r="E42" s="18" t="e">
        <f>D42-C42</f>
        <v>#REF!</v>
      </c>
      <c r="F42" s="35" t="str">
        <f>IFERROR((D42-C42)/ABS(C42),"")</f>
        <v/>
      </c>
    </row>
    <row r="43" spans="1:6" x14ac:dyDescent="0.35">
      <c r="A43" s="7" t="s">
        <v>209</v>
      </c>
      <c r="C43" s="9">
        <f>+'[1]THY Konsolide Nakit Akış Tablos'!$C$61</f>
        <v>19941</v>
      </c>
      <c r="D43" s="9">
        <f>+'[1]THY Konsolide Nakit Akış Tablos'!$B$61</f>
        <v>90164</v>
      </c>
      <c r="E43" s="10">
        <f>D43-C43</f>
        <v>70223</v>
      </c>
      <c r="F43" s="11">
        <f>IFERROR((D43-C43)/ABS(C43),"")</f>
        <v>3.5215385386891329</v>
      </c>
    </row>
    <row r="44" spans="1:6" x14ac:dyDescent="0.35">
      <c r="A44" s="22" t="s">
        <v>210</v>
      </c>
      <c r="B44" s="23"/>
      <c r="C44" s="24" t="e">
        <f>+C43+C42</f>
        <v>#REF!</v>
      </c>
      <c r="D44" s="24" t="e">
        <f>+D43+D42</f>
        <v>#REF!</v>
      </c>
      <c r="E44" s="24" t="e">
        <f>D44-C44</f>
        <v>#REF!</v>
      </c>
      <c r="F44" s="37" t="str">
        <f>IFERROR((D44-C44)/ABS(C44),"")</f>
        <v/>
      </c>
    </row>
    <row r="48" spans="1:6" x14ac:dyDescent="0.35">
      <c r="A48" s="2" t="s">
        <v>211</v>
      </c>
      <c r="B48" s="6"/>
      <c r="C48" s="4"/>
      <c r="D48" s="4"/>
      <c r="E48" s="4"/>
      <c r="F48" s="5"/>
    </row>
    <row r="49" spans="1:6" x14ac:dyDescent="0.35">
      <c r="A49" s="7" t="s">
        <v>212</v>
      </c>
      <c r="C49" s="9">
        <v>95992</v>
      </c>
      <c r="D49" s="9">
        <v>86035</v>
      </c>
      <c r="E49" s="10">
        <f>D49-C49</f>
        <v>-9957</v>
      </c>
      <c r="F49" s="11">
        <f>IFERROR((D49-C49)/ABS(C49),"")</f>
        <v>-0.10372739394949579</v>
      </c>
    </row>
    <row r="50" spans="1:6" x14ac:dyDescent="0.35">
      <c r="A50" s="38" t="s">
        <v>213</v>
      </c>
      <c r="C50" s="39" t="e">
        <f>C49-C44</f>
        <v>#REF!</v>
      </c>
      <c r="D50" s="39" t="e">
        <f>D49-D44</f>
        <v>#REF!</v>
      </c>
    </row>
    <row r="51" spans="1:6" x14ac:dyDescent="0.35">
      <c r="A51" s="43" t="s">
        <v>214</v>
      </c>
      <c r="B51" s="43"/>
      <c r="C51" s="43"/>
      <c r="D51" s="43"/>
      <c r="E51" s="43"/>
      <c r="F51" s="43"/>
    </row>
    <row r="53" spans="1:6" x14ac:dyDescent="0.35">
      <c r="A53" s="43" t="s">
        <v>215</v>
      </c>
      <c r="B53" s="43"/>
      <c r="C53" s="43"/>
      <c r="D53" s="43"/>
      <c r="E53" s="43"/>
      <c r="F53" s="43"/>
    </row>
  </sheetData>
  <mergeCells count="5">
    <mergeCell ref="A1:F1"/>
    <mergeCell ref="A2:F2"/>
    <mergeCell ref="A3:F3"/>
    <mergeCell ref="A51:F51"/>
    <mergeCell ref="A53:F5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A50-0AD5-498B-AAC9-CFCD13249637}">
  <dimension ref="A1:I40"/>
  <sheetViews>
    <sheetView zoomScaleNormal="100" workbookViewId="0">
      <pane xSplit="2" ySplit="5" topLeftCell="C6" activePane="bottomRight" state="frozen"/>
      <selection activeCell="D7" sqref="D7"/>
      <selection pane="topRight" activeCell="D7" sqref="D7"/>
      <selection pane="bottomLeft" activeCell="D7" sqref="D7"/>
      <selection pane="bottomRight" activeCell="A2" sqref="A2:F2"/>
    </sheetView>
  </sheetViews>
  <sheetFormatPr defaultColWidth="8.6328125" defaultRowHeight="14.5" x14ac:dyDescent="0.35"/>
  <cols>
    <col min="1" max="1" width="58" customWidth="1"/>
    <col min="2" max="2" width="9" customWidth="1"/>
    <col min="3" max="4" width="16" customWidth="1"/>
    <col min="5" max="5" width="13" customWidth="1"/>
    <col min="6" max="6" width="11" customWidth="1"/>
    <col min="7" max="8" width="12" customWidth="1"/>
    <col min="9" max="9" width="11" customWidth="1"/>
  </cols>
  <sheetData>
    <row r="1" spans="1:9" ht="15" customHeight="1" x14ac:dyDescent="0.35">
      <c r="A1" s="40" t="s">
        <v>217</v>
      </c>
      <c r="B1" s="40"/>
      <c r="C1" s="40"/>
      <c r="D1" s="40"/>
      <c r="E1" s="40"/>
      <c r="F1" s="40"/>
    </row>
    <row r="2" spans="1:9" ht="15" customHeight="1" x14ac:dyDescent="0.35">
      <c r="A2" s="41" t="s">
        <v>0</v>
      </c>
      <c r="B2" s="41"/>
      <c r="C2" s="41"/>
      <c r="D2" s="41"/>
      <c r="E2" s="41"/>
      <c r="F2" s="41"/>
    </row>
    <row r="3" spans="1:9" ht="15" customHeight="1" x14ac:dyDescent="0.35">
      <c r="A3" s="42" t="s">
        <v>1</v>
      </c>
      <c r="B3" s="42"/>
      <c r="C3" s="42"/>
      <c r="D3" s="42"/>
      <c r="E3" s="42"/>
      <c r="F3" s="42"/>
    </row>
    <row r="5" spans="1:9" ht="30" customHeight="1" x14ac:dyDescent="0.3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</row>
    <row r="6" spans="1:9" ht="15" customHeight="1" x14ac:dyDescent="0.35">
      <c r="A6" s="2" t="s">
        <v>11</v>
      </c>
      <c r="B6" s="3"/>
      <c r="C6" s="4"/>
      <c r="D6" s="4"/>
      <c r="E6" s="4"/>
      <c r="F6" s="5"/>
      <c r="G6" s="6"/>
      <c r="H6" s="6"/>
      <c r="I6" s="6"/>
    </row>
    <row r="7" spans="1:9" ht="15" customHeight="1" x14ac:dyDescent="0.35">
      <c r="A7" s="7" t="s">
        <v>12</v>
      </c>
      <c r="B7" s="8">
        <v>5</v>
      </c>
      <c r="C7" s="9">
        <v>95992</v>
      </c>
      <c r="D7" s="9">
        <v>86035</v>
      </c>
      <c r="E7" s="10">
        <f>D7-C7</f>
        <v>-9957</v>
      </c>
      <c r="F7" s="11">
        <f>IF(C7=0,"",(D7-C7)/ABS(C7))</f>
        <v>-0.10372739394949579</v>
      </c>
      <c r="G7" s="11">
        <f>IFERROR(C7/C$38,"")</f>
        <v>6.858501606880793E-2</v>
      </c>
      <c r="H7" s="11">
        <f>IFERROR(D7/D$38,"")</f>
        <v>4.3087625109866308E-2</v>
      </c>
      <c r="I7" s="12">
        <f>IFERROR((D7/D$38)-(C7/C$38),"")</f>
        <v>-2.5497390958941622E-2</v>
      </c>
    </row>
    <row r="8" spans="1:9" ht="15" customHeight="1" x14ac:dyDescent="0.35">
      <c r="A8" s="7" t="s">
        <v>13</v>
      </c>
      <c r="B8" s="8">
        <v>6</v>
      </c>
      <c r="C8" s="9">
        <v>118030</v>
      </c>
      <c r="D8" s="9">
        <v>182732</v>
      </c>
      <c r="E8" s="10">
        <f>D8-C8</f>
        <v>64702</v>
      </c>
      <c r="F8" s="11">
        <f>IF(C8=0,"",(D8-C8)/ABS(C8))</f>
        <v>0.5481826654240447</v>
      </c>
      <c r="G8" s="11">
        <f>IFERROR(C8/C$38,"")</f>
        <v>8.4330875975095851E-2</v>
      </c>
      <c r="H8" s="11">
        <f>IFERROR(D8/D$38,"")</f>
        <v>9.1514940565770794E-2</v>
      </c>
      <c r="I8" s="12">
        <f>IFERROR((D8/D$38)-(C8/C$38),"")</f>
        <v>7.1840645906749434E-3</v>
      </c>
    </row>
    <row r="9" spans="1:9" ht="15" customHeight="1" x14ac:dyDescent="0.35">
      <c r="A9" s="13" t="s">
        <v>14</v>
      </c>
      <c r="B9" s="8"/>
      <c r="C9" s="14"/>
      <c r="D9" s="14"/>
      <c r="E9" s="14"/>
      <c r="F9" s="15"/>
    </row>
    <row r="10" spans="1:9" ht="15" customHeight="1" x14ac:dyDescent="0.35">
      <c r="A10" s="7" t="s">
        <v>15</v>
      </c>
      <c r="B10" s="8">
        <v>9</v>
      </c>
      <c r="C10" s="9">
        <v>1506</v>
      </c>
      <c r="D10" s="9">
        <v>1527</v>
      </c>
      <c r="E10" s="10">
        <f>D10-C10</f>
        <v>21</v>
      </c>
      <c r="F10" s="11">
        <f>IF(C10=0,"",(D10-C10)/ABS(C10))</f>
        <v>1.3944223107569721E-2</v>
      </c>
      <c r="G10" s="11">
        <f>IFERROR(C10/C$38,"")</f>
        <v>1.0760171076717305E-3</v>
      </c>
      <c r="H10" s="11">
        <f>IFERROR(D10/D$38,"")</f>
        <v>7.6474462187209682E-4</v>
      </c>
      <c r="I10" s="12">
        <f>IFERROR((D10/D$38)-(C10/C$38),"")</f>
        <v>-3.1127248579963373E-4</v>
      </c>
    </row>
    <row r="11" spans="1:9" ht="15" customHeight="1" x14ac:dyDescent="0.35">
      <c r="A11" s="7" t="s">
        <v>16</v>
      </c>
      <c r="B11" s="8">
        <v>10</v>
      </c>
      <c r="C11" s="9">
        <v>30402</v>
      </c>
      <c r="D11" s="9">
        <v>44264</v>
      </c>
      <c r="E11" s="10">
        <f>D11-C11</f>
        <v>13862</v>
      </c>
      <c r="F11" s="11">
        <f>IF(C11=0,"",(D11-C11)/ABS(C11))</f>
        <v>0.45595684494441158</v>
      </c>
      <c r="G11" s="11">
        <f>IFERROR(C11/C$38,"")</f>
        <v>2.1721827428576326E-2</v>
      </c>
      <c r="H11" s="11">
        <f>IFERROR(D11/D$38,"")</f>
        <v>2.2168078547836603E-2</v>
      </c>
      <c r="I11" s="12">
        <f>IFERROR((D11/D$38)-(C11/C$38),"")</f>
        <v>4.4625111926027694E-4</v>
      </c>
    </row>
    <row r="12" spans="1:9" ht="15" customHeight="1" x14ac:dyDescent="0.35">
      <c r="A12" s="13" t="s">
        <v>17</v>
      </c>
      <c r="B12" s="8"/>
      <c r="C12" s="14"/>
      <c r="D12" s="14"/>
      <c r="E12" s="14"/>
      <c r="F12" s="15"/>
    </row>
    <row r="13" spans="1:9" ht="15" customHeight="1" x14ac:dyDescent="0.35">
      <c r="A13" s="7" t="s">
        <v>18</v>
      </c>
      <c r="B13" s="8">
        <v>9</v>
      </c>
      <c r="C13" s="9">
        <v>318</v>
      </c>
      <c r="D13" s="9">
        <v>0</v>
      </c>
      <c r="E13" s="10">
        <f t="shared" ref="E13:E20" si="0">D13-C13</f>
        <v>-318</v>
      </c>
      <c r="F13" s="11">
        <f t="shared" ref="F13:F20" si="1">IF(C13=0,"",(D13-C13)/ABS(C13))</f>
        <v>-1</v>
      </c>
      <c r="G13" s="11">
        <f t="shared" ref="G13:H20" si="2">IFERROR(C13/C$38,"")</f>
        <v>2.2720679962789529E-4</v>
      </c>
      <c r="H13" s="11">
        <f t="shared" si="2"/>
        <v>0</v>
      </c>
      <c r="I13" s="12">
        <f t="shared" ref="I13:I20" si="3">IFERROR((D13/D$38)-(C13/C$38),"")</f>
        <v>-2.2720679962789529E-4</v>
      </c>
    </row>
    <row r="14" spans="1:9" ht="15" customHeight="1" x14ac:dyDescent="0.35">
      <c r="A14" s="7" t="s">
        <v>19</v>
      </c>
      <c r="B14" s="8">
        <v>12</v>
      </c>
      <c r="C14" s="9">
        <v>47947</v>
      </c>
      <c r="D14" s="9">
        <v>39367</v>
      </c>
      <c r="E14" s="10">
        <f t="shared" si="0"/>
        <v>-8580</v>
      </c>
      <c r="F14" s="11">
        <f t="shared" si="1"/>
        <v>-0.17894758796170773</v>
      </c>
      <c r="G14" s="11">
        <f t="shared" si="2"/>
        <v>3.4257498181631117E-2</v>
      </c>
      <c r="H14" s="11">
        <f t="shared" si="2"/>
        <v>1.9715587118034603E-2</v>
      </c>
      <c r="I14" s="12">
        <f t="shared" si="3"/>
        <v>-1.4541911063596515E-2</v>
      </c>
    </row>
    <row r="15" spans="1:9" ht="15" customHeight="1" x14ac:dyDescent="0.35">
      <c r="A15" s="7" t="s">
        <v>20</v>
      </c>
      <c r="B15" s="8">
        <v>35</v>
      </c>
      <c r="C15" s="9">
        <v>4213</v>
      </c>
      <c r="D15" s="9">
        <v>10583</v>
      </c>
      <c r="E15" s="10">
        <f t="shared" si="0"/>
        <v>6370</v>
      </c>
      <c r="F15" s="11">
        <f t="shared" si="1"/>
        <v>1.5119867078091622</v>
      </c>
      <c r="G15" s="11">
        <f t="shared" si="2"/>
        <v>3.0101328516739709E-3</v>
      </c>
      <c r="H15" s="11">
        <f t="shared" si="2"/>
        <v>5.300125954991749E-3</v>
      </c>
      <c r="I15" s="12">
        <f t="shared" si="3"/>
        <v>2.2899931033177781E-3</v>
      </c>
    </row>
    <row r="16" spans="1:9" ht="15" customHeight="1" x14ac:dyDescent="0.35">
      <c r="A16" s="7" t="s">
        <v>21</v>
      </c>
      <c r="B16" s="8">
        <v>13</v>
      </c>
      <c r="C16" s="9">
        <v>23661</v>
      </c>
      <c r="D16" s="9">
        <v>41472</v>
      </c>
      <c r="E16" s="10">
        <f t="shared" si="0"/>
        <v>17811</v>
      </c>
      <c r="F16" s="11">
        <f t="shared" si="1"/>
        <v>0.7527577025484975</v>
      </c>
      <c r="G16" s="11">
        <f t="shared" si="2"/>
        <v>1.6905471968539719E-2</v>
      </c>
      <c r="H16" s="11">
        <f t="shared" si="2"/>
        <v>2.076980285414512E-2</v>
      </c>
      <c r="I16" s="12">
        <f t="shared" si="3"/>
        <v>3.8643308856054007E-3</v>
      </c>
    </row>
    <row r="17" spans="1:9" ht="15" customHeight="1" x14ac:dyDescent="0.35">
      <c r="A17" s="7" t="s">
        <v>22</v>
      </c>
      <c r="B17" s="8">
        <v>14</v>
      </c>
      <c r="C17" s="9">
        <v>10641</v>
      </c>
      <c r="D17" s="9">
        <v>18054</v>
      </c>
      <c r="E17" s="10">
        <f t="shared" si="0"/>
        <v>7413</v>
      </c>
      <c r="F17" s="11">
        <f t="shared" si="1"/>
        <v>0.69664505215675221</v>
      </c>
      <c r="G17" s="11">
        <f t="shared" si="2"/>
        <v>7.6028539460390992E-3</v>
      </c>
      <c r="H17" s="11">
        <f t="shared" si="2"/>
        <v>9.0417153918001553E-3</v>
      </c>
      <c r="I17" s="12">
        <f t="shared" si="3"/>
        <v>1.4388614457610562E-3</v>
      </c>
    </row>
    <row r="18" spans="1:9" ht="15" customHeight="1" x14ac:dyDescent="0.35">
      <c r="A18" s="7" t="s">
        <v>23</v>
      </c>
      <c r="B18" s="8">
        <v>33</v>
      </c>
      <c r="C18" s="9">
        <v>1014</v>
      </c>
      <c r="D18" s="9">
        <v>0</v>
      </c>
      <c r="E18" s="10">
        <f t="shared" si="0"/>
        <v>-1014</v>
      </c>
      <c r="F18" s="11">
        <f t="shared" si="1"/>
        <v>-1</v>
      </c>
      <c r="G18" s="11">
        <f t="shared" si="2"/>
        <v>7.2448960636064717E-4</v>
      </c>
      <c r="H18" s="11">
        <f t="shared" si="2"/>
        <v>0</v>
      </c>
      <c r="I18" s="12">
        <f t="shared" si="3"/>
        <v>-7.2448960636064717E-4</v>
      </c>
    </row>
    <row r="19" spans="1:9" ht="15" customHeight="1" x14ac:dyDescent="0.35">
      <c r="A19" s="7" t="s">
        <v>24</v>
      </c>
      <c r="B19" s="8">
        <v>24</v>
      </c>
      <c r="C19" s="9">
        <v>8186</v>
      </c>
      <c r="D19" s="9">
        <v>12378</v>
      </c>
      <c r="E19" s="10">
        <f t="shared" si="0"/>
        <v>4192</v>
      </c>
      <c r="F19" s="11">
        <f t="shared" si="1"/>
        <v>0.51209381871487902</v>
      </c>
      <c r="G19" s="11">
        <f t="shared" si="2"/>
        <v>5.8487888734400969E-3</v>
      </c>
      <c r="H19" s="11">
        <f t="shared" si="2"/>
        <v>6.1990890173757793E-3</v>
      </c>
      <c r="I19" s="12">
        <f t="shared" si="3"/>
        <v>3.5030014393568239E-4</v>
      </c>
    </row>
    <row r="20" spans="1:9" ht="15" customHeight="1" x14ac:dyDescent="0.35">
      <c r="A20" s="16" t="s">
        <v>25</v>
      </c>
      <c r="B20" s="17"/>
      <c r="C20" s="18">
        <f>SUM(C7:C19)</f>
        <v>341910</v>
      </c>
      <c r="D20" s="18">
        <f>SUM(D7:D19)</f>
        <v>436412</v>
      </c>
      <c r="E20" s="18">
        <f t="shared" si="0"/>
        <v>94502</v>
      </c>
      <c r="F20" s="19">
        <f t="shared" si="1"/>
        <v>0.27639437278816065</v>
      </c>
      <c r="G20" s="20">
        <f t="shared" si="2"/>
        <v>0.2442901788074644</v>
      </c>
      <c r="H20" s="20">
        <f t="shared" si="2"/>
        <v>0.21856170918169321</v>
      </c>
      <c r="I20" s="21">
        <f t="shared" si="3"/>
        <v>-2.5728469625771189E-2</v>
      </c>
    </row>
    <row r="22" spans="1:9" ht="15" customHeight="1" x14ac:dyDescent="0.35">
      <c r="A22" s="2" t="s">
        <v>26</v>
      </c>
      <c r="B22" s="3"/>
      <c r="C22" s="4"/>
      <c r="D22" s="4"/>
      <c r="E22" s="4"/>
      <c r="F22" s="5"/>
      <c r="G22" s="6"/>
      <c r="H22" s="6"/>
      <c r="I22" s="6"/>
    </row>
    <row r="23" spans="1:9" ht="15" customHeight="1" x14ac:dyDescent="0.35">
      <c r="A23" s="7" t="s">
        <v>13</v>
      </c>
      <c r="B23" s="8">
        <v>6</v>
      </c>
      <c r="C23" s="9">
        <v>39253</v>
      </c>
      <c r="D23" s="9">
        <v>114960</v>
      </c>
      <c r="E23" s="10">
        <f>D23-C23</f>
        <v>75707</v>
      </c>
      <c r="F23" s="11">
        <f>IF(C23=0,"",(D23-C23)/ABS(C23))</f>
        <v>1.9286933482791124</v>
      </c>
      <c r="G23" s="11">
        <f>IFERROR(C23/C$38,"")</f>
        <v>2.8045750018219413E-2</v>
      </c>
      <c r="H23" s="11">
        <f>IFERROR(D23/D$38,"")</f>
        <v>5.7573701198700887E-2</v>
      </c>
      <c r="I23" s="12">
        <f>IFERROR((D23/D$38)-(C23/C$38),"")</f>
        <v>2.9527951180481474E-2</v>
      </c>
    </row>
    <row r="24" spans="1:9" ht="15" customHeight="1" x14ac:dyDescent="0.35">
      <c r="A24" s="13" t="s">
        <v>17</v>
      </c>
      <c r="B24" s="8"/>
      <c r="C24" s="14"/>
      <c r="D24" s="14"/>
      <c r="E24" s="14"/>
      <c r="F24" s="15"/>
    </row>
    <row r="25" spans="1:9" ht="15" customHeight="1" x14ac:dyDescent="0.35">
      <c r="A25" s="7" t="s">
        <v>18</v>
      </c>
      <c r="B25" s="8">
        <v>9</v>
      </c>
      <c r="C25" s="9">
        <v>423</v>
      </c>
      <c r="D25" s="9">
        <v>2290</v>
      </c>
      <c r="E25" s="10">
        <f t="shared" ref="E25:E30" si="4">D25-C25</f>
        <v>1867</v>
      </c>
      <c r="F25" s="11">
        <f t="shared" ref="F25:F30" si="5">IF(C25=0,"",(D25-C25)/ABS(C25))</f>
        <v>4.4137115839243499</v>
      </c>
      <c r="G25" s="11">
        <f t="shared" ref="G25:H30" si="6">IFERROR(C25/C$38,"")</f>
        <v>3.0222791271257768E-4</v>
      </c>
      <c r="H25" s="11">
        <f t="shared" si="6"/>
        <v>1.1468665252698767E-3</v>
      </c>
      <c r="I25" s="12">
        <f t="shared" ref="I25:I30" si="7">IFERROR((D25/D$38)-(C25/C$38),"")</f>
        <v>8.4463861255729903E-4</v>
      </c>
    </row>
    <row r="26" spans="1:9" ht="15" customHeight="1" x14ac:dyDescent="0.35">
      <c r="A26" s="7" t="s">
        <v>19</v>
      </c>
      <c r="B26" s="8">
        <v>12</v>
      </c>
      <c r="C26" s="9">
        <v>44178</v>
      </c>
      <c r="D26" s="9">
        <v>84601</v>
      </c>
      <c r="E26" s="10">
        <f t="shared" si="4"/>
        <v>40423</v>
      </c>
      <c r="F26" s="11">
        <f t="shared" si="5"/>
        <v>0.91500294264113358</v>
      </c>
      <c r="G26" s="11">
        <f t="shared" si="6"/>
        <v>3.1564597465286656E-2</v>
      </c>
      <c r="H26" s="11">
        <f t="shared" si="6"/>
        <v>4.2369456290112156E-2</v>
      </c>
      <c r="I26" s="12">
        <f t="shared" si="7"/>
        <v>1.08048588248255E-2</v>
      </c>
    </row>
    <row r="27" spans="1:9" ht="15" customHeight="1" x14ac:dyDescent="0.35">
      <c r="A27" s="7" t="s">
        <v>27</v>
      </c>
      <c r="B27" s="8">
        <v>3</v>
      </c>
      <c r="C27" s="9">
        <v>22707</v>
      </c>
      <c r="D27" s="9">
        <v>32672</v>
      </c>
      <c r="E27" s="10">
        <f t="shared" si="4"/>
        <v>9965</v>
      </c>
      <c r="F27" s="11">
        <f t="shared" si="5"/>
        <v>0.43885145549830451</v>
      </c>
      <c r="G27" s="11">
        <f t="shared" si="6"/>
        <v>1.6223851569656032E-2</v>
      </c>
      <c r="H27" s="11">
        <f t="shared" si="6"/>
        <v>1.6362630180618957E-2</v>
      </c>
      <c r="I27" s="12">
        <f t="shared" si="7"/>
        <v>1.3877861096292521E-4</v>
      </c>
    </row>
    <row r="28" spans="1:9" ht="15" customHeight="1" x14ac:dyDescent="0.35">
      <c r="A28" s="7" t="s">
        <v>28</v>
      </c>
      <c r="B28" s="8">
        <v>15</v>
      </c>
      <c r="C28" s="9">
        <v>1523</v>
      </c>
      <c r="D28" s="9">
        <v>1853</v>
      </c>
      <c r="E28" s="10">
        <f t="shared" si="4"/>
        <v>330</v>
      </c>
      <c r="F28" s="11">
        <f t="shared" si="5"/>
        <v>0.21667760998030203</v>
      </c>
      <c r="G28" s="11">
        <f t="shared" si="6"/>
        <v>1.0881633831235362E-3</v>
      </c>
      <c r="H28" s="11">
        <f t="shared" si="6"/>
        <v>9.2801033682317975E-4</v>
      </c>
      <c r="I28" s="12">
        <f t="shared" si="7"/>
        <v>-1.6015304630035646E-4</v>
      </c>
    </row>
    <row r="29" spans="1:9" ht="15" customHeight="1" x14ac:dyDescent="0.35">
      <c r="A29" s="7" t="s">
        <v>29</v>
      </c>
      <c r="B29" s="8">
        <v>16</v>
      </c>
      <c r="C29" s="9">
        <v>248909</v>
      </c>
      <c r="D29" s="9">
        <v>362618</v>
      </c>
      <c r="E29" s="10">
        <f t="shared" si="4"/>
        <v>113709</v>
      </c>
      <c r="F29" s="11">
        <f t="shared" si="5"/>
        <v>0.45682960439357356</v>
      </c>
      <c r="G29" s="11">
        <f t="shared" si="6"/>
        <v>0.17784219273138296</v>
      </c>
      <c r="H29" s="11">
        <f t="shared" si="6"/>
        <v>0.18160456142371709</v>
      </c>
      <c r="I29" s="12">
        <f t="shared" si="7"/>
        <v>3.7623686923341226E-3</v>
      </c>
    </row>
    <row r="30" spans="1:9" ht="15" customHeight="1" x14ac:dyDescent="0.35">
      <c r="A30" s="7" t="s">
        <v>30</v>
      </c>
      <c r="B30" s="8">
        <v>16</v>
      </c>
      <c r="C30" s="9">
        <v>621795</v>
      </c>
      <c r="D30" s="9">
        <v>847758</v>
      </c>
      <c r="E30" s="10">
        <f t="shared" si="4"/>
        <v>225963</v>
      </c>
      <c r="F30" s="11">
        <f t="shared" si="5"/>
        <v>0.36340433744240463</v>
      </c>
      <c r="G30" s="11">
        <f t="shared" si="6"/>
        <v>0.44426431438561997</v>
      </c>
      <c r="H30" s="11">
        <f t="shared" si="6"/>
        <v>0.42456998765490839</v>
      </c>
      <c r="I30" s="12">
        <f t="shared" si="7"/>
        <v>-1.9694326730711587E-2</v>
      </c>
    </row>
    <row r="31" spans="1:9" ht="15" customHeight="1" x14ac:dyDescent="0.35">
      <c r="A31" s="13" t="s">
        <v>31</v>
      </c>
      <c r="B31" s="8"/>
      <c r="C31" s="14"/>
      <c r="D31" s="14"/>
      <c r="E31" s="14"/>
      <c r="F31" s="15"/>
    </row>
    <row r="32" spans="1:9" ht="15" customHeight="1" x14ac:dyDescent="0.35">
      <c r="A32" s="7" t="s">
        <v>32</v>
      </c>
      <c r="B32" s="8">
        <v>17</v>
      </c>
      <c r="C32" s="9">
        <v>3943</v>
      </c>
      <c r="D32" s="9">
        <v>7722</v>
      </c>
      <c r="E32" s="10">
        <f>D32-C32</f>
        <v>3779</v>
      </c>
      <c r="F32" s="11">
        <f>IF(C32=0,"",(D32-C32)/ABS(C32))</f>
        <v>0.95840730408318542</v>
      </c>
      <c r="G32" s="11">
        <f t="shared" ref="G32:H36" si="8">IFERROR(C32/C$38,"")</f>
        <v>2.817221418027645E-3</v>
      </c>
      <c r="H32" s="11">
        <f t="shared" si="8"/>
        <v>3.8672940210192088E-3</v>
      </c>
      <c r="I32" s="12">
        <f>IFERROR((D32/D$38)-(C32/C$38),"")</f>
        <v>1.0500726029915638E-3</v>
      </c>
    </row>
    <row r="33" spans="1:9" ht="15" customHeight="1" x14ac:dyDescent="0.35">
      <c r="A33" s="7" t="s">
        <v>33</v>
      </c>
      <c r="B33" s="8"/>
      <c r="C33" s="9">
        <v>943</v>
      </c>
      <c r="D33" s="9">
        <v>1145</v>
      </c>
      <c r="E33" s="10">
        <f>D33-C33</f>
        <v>202</v>
      </c>
      <c r="F33" s="11">
        <f>IF(C33=0,"",(D33-C33)/ABS(C33))</f>
        <v>0.2142099681866384</v>
      </c>
      <c r="G33" s="11">
        <f t="shared" si="8"/>
        <v>6.7376104417957627E-4</v>
      </c>
      <c r="H33" s="11">
        <f t="shared" si="8"/>
        <v>5.7343326263493836E-4</v>
      </c>
      <c r="I33" s="12">
        <f>IFERROR((D33/D$38)-(C33/C$38),"")</f>
        <v>-1.0032778154463792E-4</v>
      </c>
    </row>
    <row r="34" spans="1:9" ht="15" customHeight="1" x14ac:dyDescent="0.35">
      <c r="A34" s="7" t="s">
        <v>22</v>
      </c>
      <c r="B34" s="8">
        <v>14</v>
      </c>
      <c r="C34" s="9">
        <v>59824</v>
      </c>
      <c r="D34" s="9">
        <v>87002</v>
      </c>
      <c r="E34" s="10">
        <f>D34-C34</f>
        <v>27178</v>
      </c>
      <c r="F34" s="11">
        <f>IF(C34=0,"",(D34-C34)/ABS(C34))</f>
        <v>0.45429927788178659</v>
      </c>
      <c r="G34" s="11">
        <f t="shared" si="8"/>
        <v>4.2743457801695618E-2</v>
      </c>
      <c r="H34" s="11">
        <f t="shared" si="8"/>
        <v>4.3571913288877648E-2</v>
      </c>
      <c r="I34" s="12">
        <f>IFERROR((D34/D$38)-(C34/C$38),"")</f>
        <v>8.284554871820296E-4</v>
      </c>
    </row>
    <row r="35" spans="1:9" ht="15" customHeight="1" x14ac:dyDescent="0.35">
      <c r="A35" s="7" t="s">
        <v>34</v>
      </c>
      <c r="B35" s="8">
        <v>33</v>
      </c>
      <c r="C35" s="9">
        <v>14198</v>
      </c>
      <c r="D35" s="9">
        <v>17712</v>
      </c>
      <c r="E35" s="10">
        <f>D35-C35</f>
        <v>3514</v>
      </c>
      <c r="F35" s="11">
        <f>IF(C35=0,"",(D35-C35)/ABS(C35))</f>
        <v>0.24749964783772363</v>
      </c>
      <c r="G35" s="11">
        <f t="shared" si="8"/>
        <v>1.0144283462631626E-2</v>
      </c>
      <c r="H35" s="11">
        <f t="shared" si="8"/>
        <v>8.870436635624479E-3</v>
      </c>
      <c r="I35" s="12">
        <f>IFERROR((D35/D$38)-(C35/C$38),"")</f>
        <v>-1.2738468270071471E-3</v>
      </c>
    </row>
    <row r="36" spans="1:9" ht="15" customHeight="1" x14ac:dyDescent="0.35">
      <c r="A36" s="16" t="s">
        <v>35</v>
      </c>
      <c r="B36" s="17"/>
      <c r="C36" s="18">
        <f>SUM(C23:C35)</f>
        <v>1057696</v>
      </c>
      <c r="D36" s="18">
        <f>SUM(D23:D35)</f>
        <v>1560333</v>
      </c>
      <c r="E36" s="18">
        <f>D36-C36</f>
        <v>502637</v>
      </c>
      <c r="F36" s="19">
        <f>IF(C36=0,"",(D36-C36)/ABS(C36))</f>
        <v>0.4752187774180861</v>
      </c>
      <c r="G36" s="20">
        <f t="shared" si="8"/>
        <v>0.7557098211925356</v>
      </c>
      <c r="H36" s="20">
        <f t="shared" si="8"/>
        <v>0.78143829081830685</v>
      </c>
      <c r="I36" s="21">
        <f>IFERROR((D36/D$38)-(C36/C$38),"")</f>
        <v>2.5728469625771244E-2</v>
      </c>
    </row>
    <row r="38" spans="1:9" ht="15" customHeight="1" x14ac:dyDescent="0.35">
      <c r="A38" s="22" t="s">
        <v>36</v>
      </c>
      <c r="B38" s="23"/>
      <c r="C38" s="24">
        <f>C20+C36</f>
        <v>1399606</v>
      </c>
      <c r="D38" s="24">
        <f>D20+D36</f>
        <v>1996745</v>
      </c>
      <c r="E38" s="24">
        <f>D38-C38</f>
        <v>597139</v>
      </c>
      <c r="F38" s="25">
        <f>IF(C38=0,"",(D38-C38)/ABS(C38))</f>
        <v>0.42664792805975393</v>
      </c>
      <c r="G38" s="25">
        <f>IFERROR(C38/C$38,"")</f>
        <v>1</v>
      </c>
      <c r="H38" s="25">
        <f>IFERROR(D38/D$38,"")</f>
        <v>1</v>
      </c>
      <c r="I38" s="26">
        <f>IFERROR((D38/D$38)-(C38/C$38),"")</f>
        <v>0</v>
      </c>
    </row>
    <row r="40" spans="1:9" ht="15" customHeight="1" x14ac:dyDescent="0.35">
      <c r="A40" s="43" t="s">
        <v>37</v>
      </c>
      <c r="B40" s="43"/>
      <c r="C40" s="43"/>
      <c r="D40" s="43"/>
      <c r="E40" s="43"/>
      <c r="F40" s="43"/>
    </row>
  </sheetData>
  <mergeCells count="4">
    <mergeCell ref="A1:F1"/>
    <mergeCell ref="A2:F2"/>
    <mergeCell ref="A3:F3"/>
    <mergeCell ref="A40:F4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4CA3-8307-42EC-A8AB-886F9D20169A}">
  <dimension ref="A1:I63"/>
  <sheetViews>
    <sheetView zoomScaleNormal="100" workbookViewId="0">
      <pane xSplit="2" ySplit="5" topLeftCell="C6" activePane="bottomRight" state="frozen"/>
      <selection activeCell="D7" sqref="D7"/>
      <selection pane="topRight" activeCell="D7" sqref="D7"/>
      <selection pane="bottomLeft" activeCell="D7" sqref="D7"/>
      <selection pane="bottomRight" activeCell="A2" sqref="A2:F2"/>
    </sheetView>
  </sheetViews>
  <sheetFormatPr defaultColWidth="8.6328125" defaultRowHeight="14.5" x14ac:dyDescent="0.35"/>
  <cols>
    <col min="1" max="1" width="58" customWidth="1"/>
    <col min="2" max="2" width="9" customWidth="1"/>
    <col min="3" max="4" width="16" customWidth="1"/>
    <col min="5" max="5" width="13" customWidth="1"/>
    <col min="6" max="6" width="11" customWidth="1"/>
    <col min="7" max="8" width="12" customWidth="1"/>
    <col min="9" max="9" width="11" customWidth="1"/>
  </cols>
  <sheetData>
    <row r="1" spans="1:9" ht="15" customHeight="1" x14ac:dyDescent="0.35">
      <c r="A1" s="40" t="s">
        <v>217</v>
      </c>
      <c r="B1" s="40"/>
      <c r="C1" s="40"/>
      <c r="D1" s="40"/>
      <c r="E1" s="40"/>
      <c r="F1" s="40"/>
    </row>
    <row r="2" spans="1:9" ht="15" customHeight="1" x14ac:dyDescent="0.35">
      <c r="A2" s="41" t="s">
        <v>38</v>
      </c>
      <c r="B2" s="41"/>
      <c r="C2" s="41"/>
      <c r="D2" s="41"/>
      <c r="E2" s="41"/>
      <c r="F2" s="41"/>
    </row>
    <row r="3" spans="1:9" ht="15" customHeight="1" x14ac:dyDescent="0.35">
      <c r="A3" s="42" t="s">
        <v>1</v>
      </c>
      <c r="B3" s="42"/>
      <c r="C3" s="42"/>
      <c r="D3" s="42"/>
      <c r="E3" s="42"/>
      <c r="F3" s="42"/>
    </row>
    <row r="5" spans="1:9" ht="30" customHeight="1" x14ac:dyDescent="0.3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</row>
    <row r="6" spans="1:9" ht="15" customHeight="1" x14ac:dyDescent="0.35">
      <c r="A6" s="2" t="s">
        <v>39</v>
      </c>
      <c r="B6" s="3"/>
      <c r="C6" s="4"/>
      <c r="D6" s="4"/>
      <c r="E6" s="4"/>
      <c r="F6" s="5"/>
      <c r="G6" s="6"/>
      <c r="H6" s="6"/>
      <c r="I6" s="6"/>
    </row>
    <row r="7" spans="1:9" ht="15" customHeight="1" x14ac:dyDescent="0.35">
      <c r="A7" s="13" t="s">
        <v>40</v>
      </c>
      <c r="B7" s="8"/>
      <c r="C7" s="14"/>
      <c r="D7" s="14"/>
      <c r="E7" s="14"/>
      <c r="F7" s="15"/>
    </row>
    <row r="8" spans="1:9" ht="15" customHeight="1" x14ac:dyDescent="0.35">
      <c r="A8" s="7" t="s">
        <v>41</v>
      </c>
      <c r="B8" s="8">
        <v>7</v>
      </c>
      <c r="C8" s="9">
        <v>55536</v>
      </c>
      <c r="D8" s="9">
        <v>70069</v>
      </c>
      <c r="E8" s="10">
        <f>D8-C8</f>
        <v>14533</v>
      </c>
      <c r="F8" s="11">
        <f>IF(C8=0,"",(D8-C8)/ABS(C8))</f>
        <v>0.2616861135119562</v>
      </c>
      <c r="G8" s="11">
        <f>IFERROR(C8/C$61,"")</f>
        <v>3.9679738440675447E-2</v>
      </c>
      <c r="H8" s="11">
        <f>IFERROR(D8/D$61,"")</f>
        <v>3.5091611597875542E-2</v>
      </c>
      <c r="I8" s="12">
        <f>IFERROR((D8/D$61)-(C8/C$61),"")</f>
        <v>-4.5881268427999042E-3</v>
      </c>
    </row>
    <row r="9" spans="1:9" ht="15" customHeight="1" x14ac:dyDescent="0.35">
      <c r="A9" s="13" t="s">
        <v>42</v>
      </c>
      <c r="B9" s="8"/>
      <c r="C9" s="14"/>
      <c r="D9" s="14"/>
      <c r="E9" s="14"/>
      <c r="F9" s="15"/>
    </row>
    <row r="10" spans="1:9" ht="15" customHeight="1" x14ac:dyDescent="0.35">
      <c r="A10" s="7" t="s">
        <v>43</v>
      </c>
      <c r="B10" s="8">
        <v>7</v>
      </c>
      <c r="C10" s="9">
        <v>164</v>
      </c>
      <c r="D10" s="9">
        <v>0</v>
      </c>
      <c r="E10" s="10">
        <f>D10-C10</f>
        <v>-164</v>
      </c>
      <c r="F10" s="11">
        <f>IF(C10=0,"",(D10-C10)/ABS(C10))</f>
        <v>-1</v>
      </c>
      <c r="G10" s="11">
        <f t="shared" ref="G10:H13" si="0">IFERROR(C10/C$61,"")</f>
        <v>1.1717583377036109E-4</v>
      </c>
      <c r="H10" s="11">
        <f t="shared" si="0"/>
        <v>0</v>
      </c>
      <c r="I10" s="12">
        <f>IFERROR((D10/D$61)-(C10/C$61),"")</f>
        <v>-1.1717583377036109E-4</v>
      </c>
    </row>
    <row r="11" spans="1:9" ht="15" customHeight="1" x14ac:dyDescent="0.35">
      <c r="A11" s="7" t="s">
        <v>44</v>
      </c>
      <c r="B11" s="8">
        <v>7</v>
      </c>
      <c r="C11" s="9">
        <v>10139</v>
      </c>
      <c r="D11" s="9">
        <v>6215</v>
      </c>
      <c r="E11" s="10">
        <f>D11-C11</f>
        <v>-3924</v>
      </c>
      <c r="F11" s="11">
        <f>IF(C11=0,"",(D11-C11)/ABS(C11))</f>
        <v>-0.3870204162146168</v>
      </c>
      <c r="G11" s="11">
        <f t="shared" si="0"/>
        <v>7.2441815768151891E-3</v>
      </c>
      <c r="H11" s="11">
        <f t="shared" si="0"/>
        <v>3.1125657006778533E-3</v>
      </c>
      <c r="I11" s="12">
        <f>IFERROR((D11/D$61)-(C11/C$61),"")</f>
        <v>-4.1316158761373362E-3</v>
      </c>
    </row>
    <row r="12" spans="1:9" ht="15" customHeight="1" x14ac:dyDescent="0.35">
      <c r="A12" s="7" t="s">
        <v>45</v>
      </c>
      <c r="B12" s="8" t="s">
        <v>46</v>
      </c>
      <c r="C12" s="9">
        <v>64571</v>
      </c>
      <c r="D12" s="9">
        <v>86152</v>
      </c>
      <c r="E12" s="10">
        <f>D12-C12</f>
        <v>21581</v>
      </c>
      <c r="F12" s="11">
        <f>IF(C12=0,"",(D12-C12)/ABS(C12))</f>
        <v>0.33422124483127102</v>
      </c>
      <c r="G12" s="11">
        <f t="shared" si="0"/>
        <v>4.6135126599914547E-2</v>
      </c>
      <c r="H12" s="11">
        <f t="shared" si="0"/>
        <v>4.3146220473821141E-2</v>
      </c>
      <c r="I12" s="12">
        <f>IFERROR((D12/D$61)-(C12/C$61),"")</f>
        <v>-2.9889061260934061E-3</v>
      </c>
    </row>
    <row r="13" spans="1:9" ht="15" customHeight="1" x14ac:dyDescent="0.35">
      <c r="A13" s="7" t="s">
        <v>47</v>
      </c>
      <c r="B13" s="8">
        <v>8</v>
      </c>
      <c r="C13" s="9">
        <v>0</v>
      </c>
      <c r="D13" s="9">
        <v>1</v>
      </c>
      <c r="E13" s="10">
        <f>D13-C13</f>
        <v>1</v>
      </c>
      <c r="F13" s="11" t="str">
        <f>IF(C13=0,"",(D13-C13)/ABS(C13))</f>
        <v/>
      </c>
      <c r="G13" s="11">
        <f t="shared" si="0"/>
        <v>0</v>
      </c>
      <c r="H13" s="11">
        <f t="shared" si="0"/>
        <v>5.0081507653706409E-7</v>
      </c>
      <c r="I13" s="12">
        <f>IFERROR((D13/D$61)-(C13/C$61),"")</f>
        <v>5.0081507653706409E-7</v>
      </c>
    </row>
    <row r="14" spans="1:9" ht="15" customHeight="1" x14ac:dyDescent="0.35">
      <c r="A14" s="13" t="s">
        <v>48</v>
      </c>
      <c r="B14" s="8"/>
      <c r="C14" s="14"/>
      <c r="D14" s="14"/>
      <c r="E14" s="14"/>
      <c r="F14" s="15"/>
    </row>
    <row r="15" spans="1:9" ht="15" customHeight="1" x14ac:dyDescent="0.35">
      <c r="A15" s="7" t="s">
        <v>49</v>
      </c>
      <c r="B15" s="8">
        <v>9</v>
      </c>
      <c r="C15" s="9">
        <v>10342</v>
      </c>
      <c r="D15" s="9">
        <v>13251</v>
      </c>
      <c r="E15" s="10">
        <f>D15-C15</f>
        <v>2909</v>
      </c>
      <c r="F15" s="11">
        <f>IF(C15=0,"",(D15-C15)/ABS(C15))</f>
        <v>0.28128021659253527</v>
      </c>
      <c r="G15" s="11">
        <f t="shared" ref="G15:H17" si="1">IFERROR(C15/C$61,"")</f>
        <v>7.3892223954455756E-3</v>
      </c>
      <c r="H15" s="11">
        <f t="shared" si="1"/>
        <v>6.6363005791926361E-3</v>
      </c>
      <c r="I15" s="12">
        <f>IFERROR((D15/D$61)-(C15/C$61),"")</f>
        <v>-7.5292181625293952E-4</v>
      </c>
    </row>
    <row r="16" spans="1:9" ht="15" customHeight="1" x14ac:dyDescent="0.35">
      <c r="A16" s="7" t="s">
        <v>50</v>
      </c>
      <c r="B16" s="8">
        <v>10</v>
      </c>
      <c r="C16" s="9">
        <v>42450</v>
      </c>
      <c r="D16" s="9">
        <v>65389</v>
      </c>
      <c r="E16" s="10">
        <f>D16-C16</f>
        <v>22939</v>
      </c>
      <c r="F16" s="11">
        <f>IF(C16=0,"",(D16-C16)/ABS(C16))</f>
        <v>0.54037691401649002</v>
      </c>
      <c r="G16" s="11">
        <f t="shared" si="1"/>
        <v>3.0329964289950172E-2</v>
      </c>
      <c r="H16" s="11">
        <f t="shared" si="1"/>
        <v>3.2747797039682079E-2</v>
      </c>
      <c r="I16" s="12">
        <f>IFERROR((D16/D$61)-(C16/C$61),"")</f>
        <v>2.4178327497319067E-3</v>
      </c>
    </row>
    <row r="17" spans="1:9" ht="15" customHeight="1" x14ac:dyDescent="0.35">
      <c r="A17" s="7" t="s">
        <v>51</v>
      </c>
      <c r="B17" s="8">
        <v>11</v>
      </c>
      <c r="C17" s="9">
        <v>18957</v>
      </c>
      <c r="D17" s="9">
        <v>20082</v>
      </c>
      <c r="E17" s="10">
        <f>D17-C17</f>
        <v>1125</v>
      </c>
      <c r="F17" s="11">
        <f>IF(C17=0,"",(D17-C17)/ABS(C17))</f>
        <v>5.9344833043203038E-2</v>
      </c>
      <c r="G17" s="11">
        <f t="shared" si="1"/>
        <v>1.3544526102345945E-2</v>
      </c>
      <c r="H17" s="11">
        <f t="shared" si="1"/>
        <v>1.005736836701732E-2</v>
      </c>
      <c r="I17" s="12">
        <f>IFERROR((D17/D$61)-(C17/C$61),"")</f>
        <v>-3.4871577353286255E-3</v>
      </c>
    </row>
    <row r="18" spans="1:9" ht="15" customHeight="1" x14ac:dyDescent="0.35">
      <c r="A18" s="13" t="s">
        <v>52</v>
      </c>
      <c r="B18" s="8"/>
      <c r="C18" s="14"/>
      <c r="D18" s="14"/>
      <c r="E18" s="14"/>
      <c r="F18" s="15"/>
    </row>
    <row r="19" spans="1:9" ht="15" customHeight="1" x14ac:dyDescent="0.35">
      <c r="A19" s="7" t="s">
        <v>53</v>
      </c>
      <c r="B19" s="8">
        <v>9</v>
      </c>
      <c r="C19" s="9">
        <v>23</v>
      </c>
      <c r="D19" s="9">
        <v>1321</v>
      </c>
      <c r="E19" s="10">
        <f>D19-C19</f>
        <v>1298</v>
      </c>
      <c r="F19" s="11">
        <f>IF(C19=0,"",(D19-C19)/ABS(C19))</f>
        <v>56.434782608695649</v>
      </c>
      <c r="G19" s="11">
        <f t="shared" ref="G19:H23" si="2">IFERROR(C19/C$61,"")</f>
        <v>1.6433196199501859E-5</v>
      </c>
      <c r="H19" s="11">
        <f t="shared" si="2"/>
        <v>6.6157671610546159E-4</v>
      </c>
      <c r="I19" s="12">
        <f>IFERROR((D19/D$61)-(C19/C$61),"")</f>
        <v>6.4514351990595969E-4</v>
      </c>
    </row>
    <row r="20" spans="1:9" ht="15" customHeight="1" x14ac:dyDescent="0.35">
      <c r="A20" s="7" t="s">
        <v>54</v>
      </c>
      <c r="B20" s="8">
        <v>12</v>
      </c>
      <c r="C20" s="9">
        <v>11143</v>
      </c>
      <c r="D20" s="9">
        <v>10407</v>
      </c>
      <c r="E20" s="10">
        <f>D20-C20</f>
        <v>-736</v>
      </c>
      <c r="F20" s="11">
        <f>IF(C20=0,"",(D20-C20)/ABS(C20))</f>
        <v>-6.6050435250830111E-2</v>
      </c>
      <c r="G20" s="11">
        <f t="shared" si="2"/>
        <v>7.9615263152630102E-3</v>
      </c>
      <c r="H20" s="11">
        <f t="shared" si="2"/>
        <v>5.211982501521226E-3</v>
      </c>
      <c r="I20" s="12">
        <f>IFERROR((D20/D$61)-(C20/C$61),"")</f>
        <v>-2.7495438137417842E-3</v>
      </c>
    </row>
    <row r="21" spans="1:9" ht="15" customHeight="1" x14ac:dyDescent="0.35">
      <c r="A21" s="7" t="s">
        <v>20</v>
      </c>
      <c r="B21" s="8">
        <v>35</v>
      </c>
      <c r="C21" s="9">
        <v>1301</v>
      </c>
      <c r="D21" s="9">
        <v>6359</v>
      </c>
      <c r="E21" s="10">
        <f>D21-C21</f>
        <v>5058</v>
      </c>
      <c r="F21" s="11">
        <f>IF(C21=0,"",(D21-C21)/ABS(C21))</f>
        <v>3.8877786318216758</v>
      </c>
      <c r="G21" s="11">
        <f t="shared" si="2"/>
        <v>9.2954731545877908E-4</v>
      </c>
      <c r="H21" s="11">
        <f t="shared" si="2"/>
        <v>3.1846830716991906E-3</v>
      </c>
      <c r="I21" s="12">
        <f>IFERROR((D21/D$61)-(C21/C$61),"")</f>
        <v>2.2551357562404116E-3</v>
      </c>
    </row>
    <row r="22" spans="1:9" ht="15" customHeight="1" x14ac:dyDescent="0.35">
      <c r="A22" s="7" t="s">
        <v>55</v>
      </c>
      <c r="B22" s="8">
        <v>14</v>
      </c>
      <c r="C22" s="9">
        <v>104054</v>
      </c>
      <c r="D22" s="9">
        <v>151257</v>
      </c>
      <c r="E22" s="10">
        <f>D22-C22</f>
        <v>47203</v>
      </c>
      <c r="F22" s="11">
        <f>IF(C22=0,"",(D22-C22)/ABS(C22))</f>
        <v>0.45363945643608128</v>
      </c>
      <c r="G22" s="11">
        <f t="shared" si="2"/>
        <v>7.4345208580128982E-2</v>
      </c>
      <c r="H22" s="11">
        <f t="shared" si="2"/>
        <v>7.5751786031766702E-2</v>
      </c>
      <c r="I22" s="12">
        <f>IFERROR((D22/D$61)-(C22/C$61),"")</f>
        <v>1.4065774516377194E-3</v>
      </c>
    </row>
    <row r="23" spans="1:9" ht="15" customHeight="1" x14ac:dyDescent="0.35">
      <c r="A23" s="7" t="s">
        <v>56</v>
      </c>
      <c r="B23" s="8">
        <v>33</v>
      </c>
      <c r="C23" s="9">
        <v>0</v>
      </c>
      <c r="D23" s="9">
        <v>430</v>
      </c>
      <c r="E23" s="10">
        <f>D23-C23</f>
        <v>430</v>
      </c>
      <c r="F23" s="11" t="str">
        <f>IF(C23=0,"",(D23-C23)/ABS(C23))</f>
        <v/>
      </c>
      <c r="G23" s="11">
        <f t="shared" si="2"/>
        <v>0</v>
      </c>
      <c r="H23" s="11">
        <f t="shared" si="2"/>
        <v>2.1535048291093756E-4</v>
      </c>
      <c r="I23" s="12">
        <f>IFERROR((D23/D$61)-(C23/C$61),"")</f>
        <v>2.1535048291093756E-4</v>
      </c>
    </row>
    <row r="24" spans="1:9" ht="15" customHeight="1" x14ac:dyDescent="0.35">
      <c r="A24" s="13" t="s">
        <v>57</v>
      </c>
      <c r="B24" s="8"/>
      <c r="C24" s="14"/>
      <c r="D24" s="14"/>
      <c r="E24" s="14"/>
      <c r="F24" s="15"/>
    </row>
    <row r="25" spans="1:9" ht="15" customHeight="1" x14ac:dyDescent="0.35">
      <c r="A25" s="7" t="s">
        <v>58</v>
      </c>
      <c r="B25" s="8">
        <v>20</v>
      </c>
      <c r="C25" s="9">
        <v>3571</v>
      </c>
      <c r="D25" s="9">
        <v>5603</v>
      </c>
      <c r="E25" s="10">
        <f>D25-C25</f>
        <v>2032</v>
      </c>
      <c r="F25" s="11">
        <f>IF(C25=0,"",(D25-C25)/ABS(C25))</f>
        <v>0.56902828339400724</v>
      </c>
      <c r="G25" s="11">
        <f t="shared" ref="G25:H28" si="3">IFERROR(C25/C$61,"")</f>
        <v>2.5514323316704842E-3</v>
      </c>
      <c r="H25" s="11">
        <f t="shared" si="3"/>
        <v>2.80606687383717E-3</v>
      </c>
      <c r="I25" s="12">
        <f>IFERROR((D25/D$61)-(C25/C$61),"")</f>
        <v>2.5463454216668579E-4</v>
      </c>
    </row>
    <row r="26" spans="1:9" ht="15" customHeight="1" x14ac:dyDescent="0.35">
      <c r="A26" s="7" t="s">
        <v>59</v>
      </c>
      <c r="B26" s="8">
        <v>20</v>
      </c>
      <c r="C26" s="9">
        <v>478</v>
      </c>
      <c r="D26" s="9">
        <v>794</v>
      </c>
      <c r="E26" s="10">
        <f>D26-C26</f>
        <v>316</v>
      </c>
      <c r="F26" s="11">
        <f>IF(C26=0,"",(D26-C26)/ABS(C26))</f>
        <v>0.66108786610878656</v>
      </c>
      <c r="G26" s="11">
        <f t="shared" si="3"/>
        <v>3.4152468623312561E-4</v>
      </c>
      <c r="H26" s="11">
        <f t="shared" si="3"/>
        <v>3.9764717077042888E-4</v>
      </c>
      <c r="I26" s="12">
        <f>IFERROR((D26/D$61)-(C26/C$61),"")</f>
        <v>5.6122484537303268E-5</v>
      </c>
    </row>
    <row r="27" spans="1:9" ht="15" customHeight="1" x14ac:dyDescent="0.35">
      <c r="A27" s="7" t="s">
        <v>60</v>
      </c>
      <c r="B27" s="8">
        <v>24</v>
      </c>
      <c r="C27" s="9">
        <v>16804</v>
      </c>
      <c r="D27" s="9">
        <v>4746</v>
      </c>
      <c r="E27" s="10">
        <f>D27-C27</f>
        <v>-12058</v>
      </c>
      <c r="F27" s="11">
        <f>IF(C27=0,"",(D27-C27)/ABS(C27))</f>
        <v>-0.7175672458938348</v>
      </c>
      <c r="G27" s="11">
        <f t="shared" si="3"/>
        <v>1.2006236040714316E-2</v>
      </c>
      <c r="H27" s="11">
        <f t="shared" si="3"/>
        <v>2.3768683532449063E-3</v>
      </c>
      <c r="I27" s="12">
        <f>IFERROR((D27/D$61)-(C27/C$61),"")</f>
        <v>-9.6293676874694093E-3</v>
      </c>
    </row>
    <row r="28" spans="1:9" ht="15" customHeight="1" x14ac:dyDescent="0.35">
      <c r="A28" s="16" t="s">
        <v>61</v>
      </c>
      <c r="B28" s="17"/>
      <c r="C28" s="18">
        <f>SUM(C7:C27)</f>
        <v>339533</v>
      </c>
      <c r="D28" s="18">
        <f>SUM(D7:D27)</f>
        <v>442076</v>
      </c>
      <c r="E28" s="18">
        <f>D28-C28</f>
        <v>102543</v>
      </c>
      <c r="F28" s="19">
        <f>IF(C28=0,"",(D28-C28)/ABS(C28))</f>
        <v>0.30201188102481941</v>
      </c>
      <c r="G28" s="20">
        <f t="shared" si="3"/>
        <v>0.24259184370458545</v>
      </c>
      <c r="H28" s="20">
        <f t="shared" si="3"/>
        <v>0.22139832577519913</v>
      </c>
      <c r="I28" s="21">
        <f>IFERROR((D28/D$61)-(C28/C$61),"")</f>
        <v>-2.1193517929386313E-2</v>
      </c>
    </row>
    <row r="30" spans="1:9" ht="15" customHeight="1" x14ac:dyDescent="0.35">
      <c r="A30" s="2" t="s">
        <v>62</v>
      </c>
      <c r="B30" s="3"/>
      <c r="C30" s="4"/>
      <c r="D30" s="4"/>
      <c r="E30" s="4"/>
      <c r="F30" s="5"/>
      <c r="G30" s="6"/>
      <c r="H30" s="6"/>
      <c r="I30" s="6"/>
    </row>
    <row r="31" spans="1:9" ht="15" customHeight="1" x14ac:dyDescent="0.35">
      <c r="A31" s="13" t="s">
        <v>63</v>
      </c>
      <c r="B31" s="8"/>
      <c r="C31" s="14"/>
      <c r="D31" s="14"/>
      <c r="E31" s="14"/>
      <c r="F31" s="15"/>
    </row>
    <row r="32" spans="1:9" ht="15" customHeight="1" x14ac:dyDescent="0.35">
      <c r="A32" s="7" t="s">
        <v>64</v>
      </c>
      <c r="B32" s="8">
        <v>7</v>
      </c>
      <c r="C32" s="9">
        <v>1176</v>
      </c>
      <c r="D32" s="9">
        <v>48993</v>
      </c>
      <c r="E32" s="10">
        <f>D32-C32</f>
        <v>47817</v>
      </c>
      <c r="F32" s="11">
        <f>IF(C32=0,"",(D32-C32)/ABS(C32))</f>
        <v>40.660714285714285</v>
      </c>
      <c r="G32" s="11">
        <f t="shared" ref="G32:H35" si="4">IFERROR(C32/C$61,"")</f>
        <v>8.4023646654844296E-4</v>
      </c>
      <c r="H32" s="11">
        <f t="shared" si="4"/>
        <v>2.4536433044780381E-2</v>
      </c>
      <c r="I32" s="12">
        <f>IFERROR((D32/D$61)-(C32/C$61),"")</f>
        <v>2.3696196578231937E-2</v>
      </c>
    </row>
    <row r="33" spans="1:9" ht="15" customHeight="1" x14ac:dyDescent="0.35">
      <c r="A33" s="7" t="s">
        <v>65</v>
      </c>
      <c r="B33" s="8" t="s">
        <v>46</v>
      </c>
      <c r="C33" s="9">
        <v>358353</v>
      </c>
      <c r="D33" s="9">
        <v>552824</v>
      </c>
      <c r="E33" s="10">
        <f>D33-C33</f>
        <v>194471</v>
      </c>
      <c r="F33" s="11">
        <f>IF(C33=0,"",(D33-C33)/ABS(C33))</f>
        <v>0.54267998314511112</v>
      </c>
      <c r="G33" s="11">
        <f t="shared" si="4"/>
        <v>0.25603848511652566</v>
      </c>
      <c r="H33" s="11">
        <f t="shared" si="4"/>
        <v>0.2768625938715259</v>
      </c>
      <c r="I33" s="12">
        <f>IFERROR((D33/D$61)-(C33/C$61),"")</f>
        <v>2.0824108755000237E-2</v>
      </c>
    </row>
    <row r="34" spans="1:9" ht="15" customHeight="1" x14ac:dyDescent="0.35">
      <c r="A34" s="7" t="s">
        <v>66</v>
      </c>
      <c r="B34" s="8">
        <v>12</v>
      </c>
      <c r="C34" s="9">
        <v>1115</v>
      </c>
      <c r="D34" s="9">
        <v>1235</v>
      </c>
      <c r="E34" s="10">
        <f>D34-C34</f>
        <v>120</v>
      </c>
      <c r="F34" s="11">
        <f>IF(C34=0,"",(D34-C34)/ABS(C34))</f>
        <v>0.10762331838565023</v>
      </c>
      <c r="G34" s="11">
        <f t="shared" si="4"/>
        <v>7.966527722801989E-4</v>
      </c>
      <c r="H34" s="11">
        <f t="shared" si="4"/>
        <v>6.1850661952327416E-4</v>
      </c>
      <c r="I34" s="12">
        <f>IFERROR((D34/D$61)-(C34/C$61),"")</f>
        <v>-1.7814615275692474E-4</v>
      </c>
    </row>
    <row r="35" spans="1:9" ht="15" customHeight="1" x14ac:dyDescent="0.35">
      <c r="A35" s="7" t="s">
        <v>55</v>
      </c>
      <c r="B35" s="8">
        <v>14</v>
      </c>
      <c r="C35" s="9">
        <v>4629</v>
      </c>
      <c r="D35" s="9">
        <v>3240</v>
      </c>
      <c r="E35" s="10">
        <f>D35-C35</f>
        <v>-1389</v>
      </c>
      <c r="F35" s="11">
        <f>IF(C35=0,"",(D35-C35)/ABS(C35))</f>
        <v>-0.30006480881399872</v>
      </c>
      <c r="G35" s="11">
        <f t="shared" si="4"/>
        <v>3.3073593568475699E-3</v>
      </c>
      <c r="H35" s="11">
        <f t="shared" si="4"/>
        <v>1.6226408479800877E-3</v>
      </c>
      <c r="I35" s="12">
        <f>IFERROR((D35/D$61)-(C35/C$61),"")</f>
        <v>-1.6847185088674822E-3</v>
      </c>
    </row>
    <row r="36" spans="1:9" ht="15" customHeight="1" x14ac:dyDescent="0.35">
      <c r="A36" s="13" t="s">
        <v>67</v>
      </c>
      <c r="B36" s="8"/>
      <c r="C36" s="14"/>
      <c r="D36" s="14"/>
      <c r="E36" s="14"/>
      <c r="F36" s="15"/>
    </row>
    <row r="37" spans="1:9" ht="15" customHeight="1" x14ac:dyDescent="0.35">
      <c r="A37" s="7" t="s">
        <v>68</v>
      </c>
      <c r="B37" s="8">
        <v>22</v>
      </c>
      <c r="C37" s="9">
        <v>8725</v>
      </c>
      <c r="D37" s="9">
        <v>12110</v>
      </c>
      <c r="E37" s="10">
        <f>D37-C37</f>
        <v>3385</v>
      </c>
      <c r="F37" s="11">
        <f>IF(C37=0,"",(D37-C37)/ABS(C37))</f>
        <v>0.38796561604584529</v>
      </c>
      <c r="G37" s="11">
        <f t="shared" ref="G37:H41" si="5">IFERROR(C37/C$61,"")</f>
        <v>6.2338972539414663E-3</v>
      </c>
      <c r="H37" s="11">
        <f t="shared" si="5"/>
        <v>6.0648705768638457E-3</v>
      </c>
      <c r="I37" s="12">
        <f>IFERROR((D37/D$61)-(C37/C$61),"")</f>
        <v>-1.690266770776206E-4</v>
      </c>
    </row>
    <row r="38" spans="1:9" ht="15" customHeight="1" x14ac:dyDescent="0.35">
      <c r="A38" s="7" t="s">
        <v>69</v>
      </c>
      <c r="B38" s="8">
        <v>20</v>
      </c>
      <c r="C38" s="9">
        <v>3778</v>
      </c>
      <c r="D38" s="9">
        <v>8367</v>
      </c>
      <c r="E38" s="10">
        <f>D38-C38</f>
        <v>4589</v>
      </c>
      <c r="F38" s="11">
        <f>IF(C38=0,"",(D38-C38)/ABS(C38))</f>
        <v>1.214663843303335</v>
      </c>
      <c r="G38" s="11">
        <f t="shared" si="5"/>
        <v>2.6993310974660011E-3</v>
      </c>
      <c r="H38" s="11">
        <f t="shared" si="5"/>
        <v>4.1903197453856149E-3</v>
      </c>
      <c r="I38" s="12">
        <f>IFERROR((D38/D$61)-(C38/C$61),"")</f>
        <v>1.4909886479196137E-3</v>
      </c>
    </row>
    <row r="39" spans="1:9" ht="15" customHeight="1" x14ac:dyDescent="0.35">
      <c r="A39" s="7" t="s">
        <v>70</v>
      </c>
      <c r="B39" s="8">
        <v>33</v>
      </c>
      <c r="C39" s="9">
        <v>2285</v>
      </c>
      <c r="D39" s="9">
        <v>3116</v>
      </c>
      <c r="E39" s="10">
        <f>D39-C39</f>
        <v>831</v>
      </c>
      <c r="F39" s="11">
        <f>IF(C39=0,"",(D39-C39)/ABS(C39))</f>
        <v>0.3636761487964989</v>
      </c>
      <c r="G39" s="11">
        <f t="shared" si="5"/>
        <v>1.6326023180809456E-3</v>
      </c>
      <c r="H39" s="11">
        <f t="shared" si="5"/>
        <v>1.5605397784894917E-3</v>
      </c>
      <c r="I39" s="12">
        <f>IFERROR((D39/D$61)-(C39/C$61),"")</f>
        <v>-7.2062539591453891E-5</v>
      </c>
    </row>
    <row r="40" spans="1:9" ht="15" customHeight="1" x14ac:dyDescent="0.35">
      <c r="A40" s="7" t="s">
        <v>71</v>
      </c>
      <c r="B40" s="8">
        <v>24</v>
      </c>
      <c r="C40" s="9">
        <v>0</v>
      </c>
      <c r="D40" s="9">
        <v>13528</v>
      </c>
      <c r="E40" s="10">
        <f>D40-C40</f>
        <v>13528</v>
      </c>
      <c r="F40" s="11" t="str">
        <f>IF(C40=0,"",(D40-C40)/ABS(C40))</f>
        <v/>
      </c>
      <c r="G40" s="11">
        <f t="shared" si="5"/>
        <v>0</v>
      </c>
      <c r="H40" s="11">
        <f t="shared" si="5"/>
        <v>6.775026355393403E-3</v>
      </c>
      <c r="I40" s="12">
        <f>IFERROR((D40/D$61)-(C40/C$61),"")</f>
        <v>6.775026355393403E-3</v>
      </c>
    </row>
    <row r="41" spans="1:9" ht="15" customHeight="1" x14ac:dyDescent="0.35">
      <c r="A41" s="16" t="s">
        <v>72</v>
      </c>
      <c r="B41" s="17"/>
      <c r="C41" s="18">
        <f>SUM(C31:C40)</f>
        <v>380061</v>
      </c>
      <c r="D41" s="18">
        <f>SUM(D31:D40)</f>
        <v>643413</v>
      </c>
      <c r="E41" s="18">
        <f>D41-C41</f>
        <v>263352</v>
      </c>
      <c r="F41" s="19">
        <f>IF(C41=0,"",(D41-C41)/ABS(C41))</f>
        <v>0.69292034699692939</v>
      </c>
      <c r="G41" s="20">
        <f t="shared" si="5"/>
        <v>0.27154856438169028</v>
      </c>
      <c r="H41" s="20">
        <f t="shared" si="5"/>
        <v>0.32223093083994203</v>
      </c>
      <c r="I41" s="21">
        <f>IFERROR((D41/D$61)-(C41/C$61),"")</f>
        <v>5.0682366458251749E-2</v>
      </c>
    </row>
    <row r="43" spans="1:9" ht="15" customHeight="1" x14ac:dyDescent="0.35">
      <c r="A43" s="2" t="s">
        <v>73</v>
      </c>
      <c r="B43" s="3"/>
      <c r="C43" s="4"/>
      <c r="D43" s="4"/>
      <c r="E43" s="4"/>
      <c r="F43" s="5"/>
      <c r="G43" s="6"/>
      <c r="H43" s="6"/>
      <c r="I43" s="6"/>
    </row>
    <row r="44" spans="1:9" ht="15" customHeight="1" x14ac:dyDescent="0.35">
      <c r="A44" s="13" t="s">
        <v>74</v>
      </c>
      <c r="B44" s="8"/>
      <c r="C44" s="14"/>
      <c r="D44" s="14"/>
      <c r="E44" s="14"/>
      <c r="F44" s="15"/>
    </row>
    <row r="45" spans="1:9" ht="15" customHeight="1" x14ac:dyDescent="0.35">
      <c r="A45" s="7" t="s">
        <v>75</v>
      </c>
      <c r="B45" s="8">
        <v>25</v>
      </c>
      <c r="C45" s="9">
        <v>1380</v>
      </c>
      <c r="D45" s="9">
        <v>1380</v>
      </c>
      <c r="E45" s="10">
        <f t="shared" ref="E45:E59" si="6">D45-C45</f>
        <v>0</v>
      </c>
      <c r="F45" s="11">
        <f t="shared" ref="F45:F59" si="7">IF(C45=0,"",(D45-C45)/ABS(C45))</f>
        <v>0</v>
      </c>
      <c r="G45" s="11">
        <f t="shared" ref="G45:H59" si="8">IFERROR(C45/C$61,"")</f>
        <v>9.8599177197011161E-4</v>
      </c>
      <c r="H45" s="11">
        <f t="shared" si="8"/>
        <v>6.9112480562114845E-4</v>
      </c>
      <c r="I45" s="12">
        <f t="shared" ref="I45:I59" si="9">IFERROR((D45/D$61)-(C45/C$61),"")</f>
        <v>-2.9486696634896316E-4</v>
      </c>
    </row>
    <row r="46" spans="1:9" ht="15" customHeight="1" x14ac:dyDescent="0.35">
      <c r="A46" s="7" t="s">
        <v>76</v>
      </c>
      <c r="B46" s="8">
        <v>25</v>
      </c>
      <c r="C46" s="9">
        <v>1124</v>
      </c>
      <c r="D46" s="9">
        <v>1124</v>
      </c>
      <c r="E46" s="10">
        <f t="shared" si="6"/>
        <v>0</v>
      </c>
      <c r="F46" s="11">
        <f t="shared" si="7"/>
        <v>0</v>
      </c>
      <c r="G46" s="11">
        <f t="shared" si="8"/>
        <v>8.0308315340174303E-4</v>
      </c>
      <c r="H46" s="11">
        <f t="shared" si="8"/>
        <v>5.6291614602766002E-4</v>
      </c>
      <c r="I46" s="12">
        <f t="shared" si="9"/>
        <v>-2.4016700737408301E-4</v>
      </c>
    </row>
    <row r="47" spans="1:9" ht="15" customHeight="1" x14ac:dyDescent="0.35">
      <c r="A47" s="7" t="s">
        <v>77</v>
      </c>
      <c r="B47" s="8">
        <v>25</v>
      </c>
      <c r="C47" s="9">
        <v>-853</v>
      </c>
      <c r="D47" s="9">
        <v>-1126</v>
      </c>
      <c r="E47" s="10">
        <f t="shared" si="6"/>
        <v>-273</v>
      </c>
      <c r="F47" s="11">
        <f t="shared" si="7"/>
        <v>-0.32004689331770225</v>
      </c>
      <c r="G47" s="11">
        <f t="shared" si="8"/>
        <v>-6.0945723296413419E-4</v>
      </c>
      <c r="H47" s="11">
        <f t="shared" si="8"/>
        <v>-5.6391777618073409E-4</v>
      </c>
      <c r="I47" s="12">
        <f t="shared" si="9"/>
        <v>4.5539456783400098E-5</v>
      </c>
    </row>
    <row r="48" spans="1:9" ht="15" customHeight="1" x14ac:dyDescent="0.35">
      <c r="A48" s="7" t="s">
        <v>78</v>
      </c>
      <c r="B48" s="8"/>
      <c r="C48" s="9">
        <v>0</v>
      </c>
      <c r="D48" s="9">
        <v>43</v>
      </c>
      <c r="E48" s="10">
        <f t="shared" si="6"/>
        <v>43</v>
      </c>
      <c r="F48" s="11" t="str">
        <f t="shared" si="7"/>
        <v/>
      </c>
      <c r="G48" s="11">
        <f t="shared" si="8"/>
        <v>0</v>
      </c>
      <c r="H48" s="11">
        <f t="shared" si="8"/>
        <v>2.1535048291093756E-5</v>
      </c>
      <c r="I48" s="12">
        <f t="shared" si="9"/>
        <v>2.1535048291093756E-5</v>
      </c>
    </row>
    <row r="49" spans="1:9" ht="15" customHeight="1" x14ac:dyDescent="0.35">
      <c r="A49" s="7" t="s">
        <v>79</v>
      </c>
      <c r="B49" s="8">
        <v>25</v>
      </c>
      <c r="C49" s="9">
        <v>-10044</v>
      </c>
      <c r="D49" s="9">
        <v>-10162</v>
      </c>
      <c r="E49" s="10">
        <f t="shared" si="6"/>
        <v>-118</v>
      </c>
      <c r="F49" s="11">
        <f t="shared" si="7"/>
        <v>-1.1748307447232178E-2</v>
      </c>
      <c r="G49" s="11">
        <f t="shared" si="8"/>
        <v>-7.1763053316433343E-3</v>
      </c>
      <c r="H49" s="11">
        <f t="shared" si="8"/>
        <v>-5.0892828077696451E-3</v>
      </c>
      <c r="I49" s="12">
        <f t="shared" si="9"/>
        <v>2.0870225238736892E-3</v>
      </c>
    </row>
    <row r="50" spans="1:9" ht="15" customHeight="1" x14ac:dyDescent="0.35">
      <c r="A50" s="7" t="s">
        <v>80</v>
      </c>
      <c r="B50" s="8">
        <v>25</v>
      </c>
      <c r="C50" s="9">
        <v>281666</v>
      </c>
      <c r="D50" s="9">
        <v>428085</v>
      </c>
      <c r="E50" s="10">
        <f t="shared" si="6"/>
        <v>146419</v>
      </c>
      <c r="F50" s="11">
        <f t="shared" si="7"/>
        <v>0.51983199960236592</v>
      </c>
      <c r="G50" s="11">
        <f t="shared" si="8"/>
        <v>0.20124663655343003</v>
      </c>
      <c r="H50" s="11">
        <f t="shared" si="8"/>
        <v>0.21439142203936906</v>
      </c>
      <c r="I50" s="12">
        <f t="shared" si="9"/>
        <v>1.3144785485939031E-2</v>
      </c>
    </row>
    <row r="51" spans="1:9" ht="15" customHeight="1" x14ac:dyDescent="0.35">
      <c r="A51" s="7" t="s">
        <v>81</v>
      </c>
      <c r="B51" s="8">
        <v>25</v>
      </c>
      <c r="C51" s="9">
        <v>40926</v>
      </c>
      <c r="D51" s="9">
        <v>45278</v>
      </c>
      <c r="E51" s="10">
        <f t="shared" si="6"/>
        <v>4352</v>
      </c>
      <c r="F51" s="11">
        <f t="shared" si="7"/>
        <v>0.1063382690710062</v>
      </c>
      <c r="G51" s="11">
        <f t="shared" si="8"/>
        <v>2.9241086420035353E-2</v>
      </c>
      <c r="H51" s="11">
        <f t="shared" si="8"/>
        <v>2.2675905035445188E-2</v>
      </c>
      <c r="I51" s="12">
        <f t="shared" si="9"/>
        <v>-6.5651813845901651E-3</v>
      </c>
    </row>
    <row r="52" spans="1:9" ht="15" customHeight="1" x14ac:dyDescent="0.35">
      <c r="A52" s="7" t="s">
        <v>82</v>
      </c>
      <c r="B52" s="8">
        <v>25</v>
      </c>
      <c r="C52" s="9">
        <v>21907</v>
      </c>
      <c r="D52" s="9">
        <v>-7989</v>
      </c>
      <c r="E52" s="10">
        <f t="shared" si="6"/>
        <v>-29896</v>
      </c>
      <c r="F52" s="11">
        <f t="shared" si="7"/>
        <v>-1.3646779568174556</v>
      </c>
      <c r="G52" s="11">
        <f t="shared" si="8"/>
        <v>1.5652262136629881E-2</v>
      </c>
      <c r="H52" s="11">
        <f t="shared" si="8"/>
        <v>-4.0010116464546048E-3</v>
      </c>
      <c r="I52" s="12">
        <f t="shared" si="9"/>
        <v>-1.9653273783084485E-2</v>
      </c>
    </row>
    <row r="53" spans="1:9" ht="15" customHeight="1" x14ac:dyDescent="0.35">
      <c r="A53" s="7" t="s">
        <v>83</v>
      </c>
      <c r="B53" s="8"/>
      <c r="C53" s="9">
        <v>624</v>
      </c>
      <c r="D53" s="9">
        <v>2724</v>
      </c>
      <c r="E53" s="10">
        <f t="shared" si="6"/>
        <v>2100</v>
      </c>
      <c r="F53" s="11">
        <f t="shared" si="7"/>
        <v>3.3653846153846154</v>
      </c>
      <c r="G53" s="11">
        <f t="shared" si="8"/>
        <v>4.4583975776039828E-4</v>
      </c>
      <c r="H53" s="11">
        <f t="shared" si="8"/>
        <v>1.3642202684869625E-3</v>
      </c>
      <c r="I53" s="12">
        <f t="shared" si="9"/>
        <v>9.1838051072656423E-4</v>
      </c>
    </row>
    <row r="54" spans="1:9" ht="15" customHeight="1" x14ac:dyDescent="0.35">
      <c r="A54" s="7" t="s">
        <v>84</v>
      </c>
      <c r="B54" s="8">
        <v>25</v>
      </c>
      <c r="C54" s="9">
        <v>912</v>
      </c>
      <c r="D54" s="9">
        <v>1231</v>
      </c>
      <c r="E54" s="10">
        <f t="shared" si="6"/>
        <v>319</v>
      </c>
      <c r="F54" s="11">
        <f t="shared" si="7"/>
        <v>0.34978070175438597</v>
      </c>
      <c r="G54" s="11">
        <f t="shared" si="8"/>
        <v>6.5161195364981284E-4</v>
      </c>
      <c r="H54" s="11">
        <f t="shared" si="8"/>
        <v>6.165033592171259E-4</v>
      </c>
      <c r="I54" s="12">
        <f t="shared" si="9"/>
        <v>-3.5108594432686942E-5</v>
      </c>
    </row>
    <row r="55" spans="1:9" ht="15" customHeight="1" x14ac:dyDescent="0.35">
      <c r="A55" s="7" t="s">
        <v>85</v>
      </c>
      <c r="B55" s="8"/>
      <c r="C55" s="9">
        <v>228888</v>
      </c>
      <c r="D55" s="9">
        <v>332426</v>
      </c>
      <c r="E55" s="10">
        <f t="shared" si="6"/>
        <v>103538</v>
      </c>
      <c r="F55" s="11">
        <f t="shared" si="7"/>
        <v>0.45235224214462971</v>
      </c>
      <c r="G55" s="11">
        <f t="shared" si="8"/>
        <v>0.16353745268311226</v>
      </c>
      <c r="H55" s="11">
        <f t="shared" si="8"/>
        <v>0.16648395263291005</v>
      </c>
      <c r="I55" s="12">
        <f t="shared" si="9"/>
        <v>2.9464999497977873E-3</v>
      </c>
    </row>
    <row r="56" spans="1:9" ht="15" customHeight="1" x14ac:dyDescent="0.35">
      <c r="A56" s="7" t="s">
        <v>86</v>
      </c>
      <c r="B56" s="8"/>
      <c r="C56" s="9">
        <v>113357</v>
      </c>
      <c r="D56" s="9">
        <v>118208</v>
      </c>
      <c r="E56" s="10">
        <f t="shared" si="6"/>
        <v>4851</v>
      </c>
      <c r="F56" s="11">
        <f t="shared" si="7"/>
        <v>4.2794004781354485E-2</v>
      </c>
      <c r="G56" s="11">
        <f t="shared" si="8"/>
        <v>8.0992079199431841E-2</v>
      </c>
      <c r="H56" s="11">
        <f t="shared" si="8"/>
        <v>5.9200348567293268E-2</v>
      </c>
      <c r="I56" s="12">
        <f t="shared" si="9"/>
        <v>-2.1791730632138573E-2</v>
      </c>
    </row>
    <row r="57" spans="1:9" ht="15" customHeight="1" x14ac:dyDescent="0.35">
      <c r="A57" s="16" t="s">
        <v>87</v>
      </c>
      <c r="B57" s="17"/>
      <c r="C57" s="18">
        <f>SUM(C45:C56)</f>
        <v>679887</v>
      </c>
      <c r="D57" s="18">
        <f>SUM(D45:D56)</f>
        <v>911222</v>
      </c>
      <c r="E57" s="18">
        <f t="shared" si="6"/>
        <v>231335</v>
      </c>
      <c r="F57" s="19">
        <f t="shared" si="7"/>
        <v>0.34025507179869596</v>
      </c>
      <c r="G57" s="11">
        <f t="shared" si="8"/>
        <v>0.48577028106481396</v>
      </c>
      <c r="H57" s="11">
        <f t="shared" si="8"/>
        <v>0.45635371567225658</v>
      </c>
      <c r="I57" s="12">
        <f t="shared" si="9"/>
        <v>-2.9416565392557381E-2</v>
      </c>
    </row>
    <row r="58" spans="1:9" ht="15" customHeight="1" x14ac:dyDescent="0.35">
      <c r="A58" s="7" t="s">
        <v>88</v>
      </c>
      <c r="B58" s="8"/>
      <c r="C58" s="9">
        <v>125</v>
      </c>
      <c r="D58" s="9">
        <v>34</v>
      </c>
      <c r="E58" s="10">
        <f t="shared" si="6"/>
        <v>-91</v>
      </c>
      <c r="F58" s="11">
        <f t="shared" si="7"/>
        <v>-0.72799999999999998</v>
      </c>
      <c r="G58" s="11">
        <f t="shared" si="8"/>
        <v>8.9310848910336188E-5</v>
      </c>
      <c r="H58" s="11">
        <f t="shared" si="8"/>
        <v>1.7027712602260177E-5</v>
      </c>
      <c r="I58" s="12">
        <f t="shared" si="9"/>
        <v>-7.2283136308076018E-5</v>
      </c>
    </row>
    <row r="59" spans="1:9" ht="15" customHeight="1" x14ac:dyDescent="0.35">
      <c r="A59" s="16" t="s">
        <v>89</v>
      </c>
      <c r="B59" s="17"/>
      <c r="C59" s="18">
        <f>C57+C58</f>
        <v>680012</v>
      </c>
      <c r="D59" s="18">
        <f>D57+D58</f>
        <v>911256</v>
      </c>
      <c r="E59" s="18">
        <f t="shared" si="6"/>
        <v>231244</v>
      </c>
      <c r="F59" s="19">
        <f t="shared" si="7"/>
        <v>0.34005870484638506</v>
      </c>
      <c r="G59" s="20">
        <f t="shared" si="8"/>
        <v>0.4858595919137243</v>
      </c>
      <c r="H59" s="20">
        <f t="shared" si="8"/>
        <v>0.45637074338485883</v>
      </c>
      <c r="I59" s="21">
        <f t="shared" si="9"/>
        <v>-2.9488848528865463E-2</v>
      </c>
    </row>
    <row r="61" spans="1:9" ht="15" customHeight="1" x14ac:dyDescent="0.35">
      <c r="A61" s="22" t="s">
        <v>90</v>
      </c>
      <c r="B61" s="23"/>
      <c r="C61" s="24">
        <f>C28+C41+C59</f>
        <v>1399606</v>
      </c>
      <c r="D61" s="24">
        <f>D28+D41+D59</f>
        <v>1996745</v>
      </c>
      <c r="E61" s="24">
        <f>D61-C61</f>
        <v>597139</v>
      </c>
      <c r="F61" s="25">
        <f>IF(C61=0,"",(D61-C61)/ABS(C61))</f>
        <v>0.42664792805975393</v>
      </c>
      <c r="G61" s="25">
        <f>IFERROR(C61/C$61,"")</f>
        <v>1</v>
      </c>
      <c r="H61" s="25">
        <f>IFERROR(D61/D$61,"")</f>
        <v>1</v>
      </c>
      <c r="I61" s="26">
        <f>IFERROR((D61/D$61)-(C61/C$61),"")</f>
        <v>0</v>
      </c>
    </row>
    <row r="63" spans="1:9" ht="15" customHeight="1" x14ac:dyDescent="0.35">
      <c r="A63" s="43" t="s">
        <v>37</v>
      </c>
      <c r="B63" s="43"/>
      <c r="C63" s="43"/>
      <c r="D63" s="43"/>
      <c r="E63" s="43"/>
      <c r="F63" s="43"/>
    </row>
  </sheetData>
  <mergeCells count="4">
    <mergeCell ref="A1:F1"/>
    <mergeCell ref="A2:F2"/>
    <mergeCell ref="A3:F3"/>
    <mergeCell ref="A63:F6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B5DFA-C011-4E6B-9818-3AEB395F737D}">
  <dimension ref="A1:H37"/>
  <sheetViews>
    <sheetView zoomScaleNormal="100" workbookViewId="0">
      <pane xSplit="1" ySplit="4" topLeftCell="B5" activePane="bottomRight" state="frozen"/>
      <selection activeCell="D7" sqref="D7"/>
      <selection pane="topRight" activeCell="D7" sqref="D7"/>
      <selection pane="bottomLeft" activeCell="D7" sqref="D7"/>
      <selection pane="bottomRight" sqref="A1:H1"/>
    </sheetView>
  </sheetViews>
  <sheetFormatPr defaultColWidth="8.6328125" defaultRowHeight="14.5" x14ac:dyDescent="0.35"/>
  <cols>
    <col min="1" max="1" width="42" customWidth="1"/>
    <col min="2" max="3" width="16" customWidth="1"/>
    <col min="4" max="5" width="12" customWidth="1"/>
    <col min="6" max="6" width="11" customWidth="1"/>
    <col min="7" max="7" width="14" customWidth="1"/>
    <col min="8" max="8" width="36" customWidth="1"/>
  </cols>
  <sheetData>
    <row r="1" spans="1:8" ht="21.75" customHeight="1" x14ac:dyDescent="0.35">
      <c r="A1" s="40" t="s">
        <v>216</v>
      </c>
      <c r="B1" s="40"/>
      <c r="C1" s="40"/>
      <c r="D1" s="40"/>
      <c r="E1" s="40"/>
      <c r="F1" s="40"/>
      <c r="G1" s="40"/>
      <c r="H1" s="40"/>
    </row>
    <row r="2" spans="1:8" ht="15" customHeight="1" x14ac:dyDescent="0.35">
      <c r="A2" s="42" t="s">
        <v>91</v>
      </c>
      <c r="B2" s="42"/>
      <c r="C2" s="42"/>
      <c r="D2" s="42"/>
      <c r="E2" s="42"/>
      <c r="F2" s="42"/>
      <c r="G2" s="42"/>
      <c r="H2" s="42"/>
    </row>
    <row r="4" spans="1:8" ht="31.5" customHeight="1" x14ac:dyDescent="0.35">
      <c r="A4" s="1" t="s">
        <v>2</v>
      </c>
      <c r="B4" s="1" t="s">
        <v>92</v>
      </c>
      <c r="C4" s="1" t="s">
        <v>93</v>
      </c>
      <c r="D4" s="1" t="s">
        <v>8</v>
      </c>
      <c r="E4" s="1" t="s">
        <v>9</v>
      </c>
      <c r="F4" s="1" t="s">
        <v>10</v>
      </c>
      <c r="G4" s="1" t="s">
        <v>94</v>
      </c>
      <c r="H4" s="1" t="s">
        <v>95</v>
      </c>
    </row>
    <row r="5" spans="1:8" ht="15" customHeight="1" x14ac:dyDescent="0.35">
      <c r="A5" s="2" t="s">
        <v>96</v>
      </c>
      <c r="B5" s="6"/>
      <c r="C5" s="6"/>
      <c r="D5" s="6"/>
      <c r="E5" s="6"/>
      <c r="F5" s="6"/>
      <c r="G5" s="6"/>
      <c r="H5" s="27"/>
    </row>
    <row r="6" spans="1:8" ht="15" customHeight="1" x14ac:dyDescent="0.35">
      <c r="A6" s="16" t="s">
        <v>97</v>
      </c>
      <c r="B6" s="28">
        <f>Varlıklar!C20</f>
        <v>341910</v>
      </c>
      <c r="C6" s="28">
        <f>Varlıklar!D20</f>
        <v>436412</v>
      </c>
      <c r="D6" s="20">
        <f t="shared" ref="D6:E17" si="0">IFERROR(B6/B$17,"")</f>
        <v>0.2442901788074644</v>
      </c>
      <c r="E6" s="20">
        <f t="shared" si="0"/>
        <v>0.21856170918169321</v>
      </c>
      <c r="F6" s="21">
        <f t="shared" ref="F6:F17" si="1">IFERROR((C6/C$17)-(B6/B$17),"")</f>
        <v>-2.5728469625771189E-2</v>
      </c>
      <c r="G6" s="20">
        <f t="shared" ref="G6:G17" si="2">IFERROR((C6-B6)/ABS(B6),"")</f>
        <v>0.27639437278816065</v>
      </c>
      <c r="H6" s="29" t="s">
        <v>98</v>
      </c>
    </row>
    <row r="7" spans="1:8" ht="15" customHeight="1" x14ac:dyDescent="0.35">
      <c r="A7" s="7" t="s">
        <v>12</v>
      </c>
      <c r="B7" s="30">
        <f>Varlıklar!C7</f>
        <v>95992</v>
      </c>
      <c r="C7" s="30">
        <f>Varlıklar!D7</f>
        <v>86035</v>
      </c>
      <c r="D7" s="11">
        <f t="shared" si="0"/>
        <v>6.858501606880793E-2</v>
      </c>
      <c r="E7" s="11">
        <f t="shared" si="0"/>
        <v>4.3087625109866308E-2</v>
      </c>
      <c r="F7" s="12">
        <f t="shared" si="1"/>
        <v>-2.5497390958941622E-2</v>
      </c>
      <c r="G7" s="11">
        <f t="shared" si="2"/>
        <v>-0.10372739394949579</v>
      </c>
      <c r="H7" s="31" t="s">
        <v>99</v>
      </c>
    </row>
    <row r="8" spans="1:8" ht="15" customHeight="1" x14ac:dyDescent="0.35">
      <c r="A8" s="7" t="s">
        <v>100</v>
      </c>
      <c r="B8" s="30">
        <f>Varlıklar!C8</f>
        <v>118030</v>
      </c>
      <c r="C8" s="30">
        <f>Varlıklar!D8</f>
        <v>182732</v>
      </c>
      <c r="D8" s="11">
        <f t="shared" si="0"/>
        <v>8.4330875975095851E-2</v>
      </c>
      <c r="E8" s="11">
        <f t="shared" si="0"/>
        <v>9.1514940565770794E-2</v>
      </c>
      <c r="F8" s="12">
        <f t="shared" si="1"/>
        <v>7.1840645906749434E-3</v>
      </c>
      <c r="G8" s="11">
        <f t="shared" si="2"/>
        <v>0.5481826654240447</v>
      </c>
      <c r="H8" s="31" t="s">
        <v>101</v>
      </c>
    </row>
    <row r="9" spans="1:8" ht="15" customHeight="1" x14ac:dyDescent="0.35">
      <c r="A9" s="7" t="s">
        <v>102</v>
      </c>
      <c r="B9" s="30">
        <f>Varlıklar!C10+Varlıklar!C11</f>
        <v>31908</v>
      </c>
      <c r="C9" s="30">
        <f>Varlıklar!D10+Varlıklar!D11</f>
        <v>45791</v>
      </c>
      <c r="D9" s="11">
        <f t="shared" si="0"/>
        <v>2.2797844536248058E-2</v>
      </c>
      <c r="E9" s="11">
        <f t="shared" si="0"/>
        <v>2.29328231697087E-2</v>
      </c>
      <c r="F9" s="12">
        <f t="shared" si="1"/>
        <v>1.3497863346064246E-4</v>
      </c>
      <c r="G9" s="11">
        <f t="shared" si="2"/>
        <v>0.43509464711044255</v>
      </c>
      <c r="H9" s="31" t="s">
        <v>103</v>
      </c>
    </row>
    <row r="10" spans="1:8" ht="15" customHeight="1" x14ac:dyDescent="0.35">
      <c r="A10" s="7" t="s">
        <v>21</v>
      </c>
      <c r="B10" s="30">
        <f>Varlıklar!C16</f>
        <v>23661</v>
      </c>
      <c r="C10" s="30">
        <f>Varlıklar!D16</f>
        <v>41472</v>
      </c>
      <c r="D10" s="11">
        <f t="shared" si="0"/>
        <v>1.6905471968539719E-2</v>
      </c>
      <c r="E10" s="11">
        <f t="shared" si="0"/>
        <v>2.076980285414512E-2</v>
      </c>
      <c r="F10" s="12">
        <f t="shared" si="1"/>
        <v>3.8643308856054007E-3</v>
      </c>
      <c r="G10" s="11">
        <f t="shared" si="2"/>
        <v>0.7527577025484975</v>
      </c>
      <c r="H10" s="31" t="s">
        <v>104</v>
      </c>
    </row>
    <row r="11" spans="1:8" ht="15" customHeight="1" x14ac:dyDescent="0.35">
      <c r="A11" s="7" t="s">
        <v>105</v>
      </c>
      <c r="B11" s="30">
        <f>Varlıklar!C15</f>
        <v>4213</v>
      </c>
      <c r="C11" s="30">
        <f>Varlıklar!D15</f>
        <v>10583</v>
      </c>
      <c r="D11" s="11">
        <f t="shared" si="0"/>
        <v>3.0101328516739709E-3</v>
      </c>
      <c r="E11" s="11">
        <f t="shared" si="0"/>
        <v>5.300125954991749E-3</v>
      </c>
      <c r="F11" s="12">
        <f t="shared" si="1"/>
        <v>2.2899931033177781E-3</v>
      </c>
      <c r="G11" s="11">
        <f t="shared" si="2"/>
        <v>1.5119867078091622</v>
      </c>
      <c r="H11" s="31" t="s">
        <v>106</v>
      </c>
    </row>
    <row r="12" spans="1:8" ht="15" customHeight="1" x14ac:dyDescent="0.35">
      <c r="A12" s="16" t="s">
        <v>107</v>
      </c>
      <c r="B12" s="28">
        <f>Varlıklar!C36</f>
        <v>1057696</v>
      </c>
      <c r="C12" s="28">
        <f>Varlıklar!D36</f>
        <v>1560333</v>
      </c>
      <c r="D12" s="20">
        <f t="shared" si="0"/>
        <v>0.7557098211925356</v>
      </c>
      <c r="E12" s="20">
        <f t="shared" si="0"/>
        <v>0.78143829081830685</v>
      </c>
      <c r="F12" s="21">
        <f t="shared" si="1"/>
        <v>2.5728469625771244E-2</v>
      </c>
      <c r="G12" s="20">
        <f t="shared" si="2"/>
        <v>0.4752187774180861</v>
      </c>
      <c r="H12" s="29" t="s">
        <v>108</v>
      </c>
    </row>
    <row r="13" spans="1:8" ht="15" customHeight="1" x14ac:dyDescent="0.35">
      <c r="A13" s="7" t="s">
        <v>29</v>
      </c>
      <c r="B13" s="30">
        <f>Varlıklar!C29</f>
        <v>248909</v>
      </c>
      <c r="C13" s="30">
        <f>Varlıklar!D29</f>
        <v>362618</v>
      </c>
      <c r="D13" s="32">
        <f t="shared" si="0"/>
        <v>0.17784219273138296</v>
      </c>
      <c r="E13" s="32">
        <f t="shared" si="0"/>
        <v>0.18160456142371709</v>
      </c>
      <c r="F13" s="33">
        <f t="shared" si="1"/>
        <v>3.7623686923341226E-3</v>
      </c>
      <c r="G13" s="32">
        <f t="shared" si="2"/>
        <v>0.45682960439357356</v>
      </c>
      <c r="H13" s="31" t="s">
        <v>109</v>
      </c>
    </row>
    <row r="14" spans="1:8" ht="15" customHeight="1" x14ac:dyDescent="0.35">
      <c r="A14" s="7" t="s">
        <v>30</v>
      </c>
      <c r="B14" s="30">
        <f>Varlıklar!C30</f>
        <v>621795</v>
      </c>
      <c r="C14" s="30">
        <f>Varlıklar!D30</f>
        <v>847758</v>
      </c>
      <c r="D14" s="32">
        <f t="shared" si="0"/>
        <v>0.44426431438561997</v>
      </c>
      <c r="E14" s="32">
        <f t="shared" si="0"/>
        <v>0.42456998765490839</v>
      </c>
      <c r="F14" s="33">
        <f t="shared" si="1"/>
        <v>-1.9694326730711587E-2</v>
      </c>
      <c r="G14" s="32">
        <f t="shared" si="2"/>
        <v>0.36340433744240463</v>
      </c>
      <c r="H14" s="31" t="s">
        <v>110</v>
      </c>
    </row>
    <row r="15" spans="1:8" ht="15" customHeight="1" x14ac:dyDescent="0.35">
      <c r="A15" s="7" t="s">
        <v>111</v>
      </c>
      <c r="B15" s="30">
        <f>Varlıklar!C23</f>
        <v>39253</v>
      </c>
      <c r="C15" s="30">
        <f>Varlıklar!D23</f>
        <v>114960</v>
      </c>
      <c r="D15" s="11">
        <f t="shared" si="0"/>
        <v>2.8045750018219413E-2</v>
      </c>
      <c r="E15" s="11">
        <f t="shared" si="0"/>
        <v>5.7573701198700887E-2</v>
      </c>
      <c r="F15" s="12">
        <f t="shared" si="1"/>
        <v>2.9527951180481474E-2</v>
      </c>
      <c r="G15" s="11">
        <f t="shared" si="2"/>
        <v>1.9286933482791124</v>
      </c>
      <c r="H15" s="31" t="s">
        <v>112</v>
      </c>
    </row>
    <row r="16" spans="1:8" ht="15" customHeight="1" x14ac:dyDescent="0.35">
      <c r="A16" s="7" t="s">
        <v>113</v>
      </c>
      <c r="B16" s="30">
        <f>Varlıklar!C32+Varlıklar!C33</f>
        <v>4886</v>
      </c>
      <c r="C16" s="30">
        <f>Varlıklar!D32+Varlıklar!D33</f>
        <v>8867</v>
      </c>
      <c r="D16" s="11">
        <f t="shared" si="0"/>
        <v>3.490982462207221E-3</v>
      </c>
      <c r="E16" s="11">
        <f t="shared" si="0"/>
        <v>4.4407272836541473E-3</v>
      </c>
      <c r="F16" s="12">
        <f t="shared" si="1"/>
        <v>9.497448214469263E-4</v>
      </c>
      <c r="G16" s="11">
        <f t="shared" si="2"/>
        <v>0.81477691363078186</v>
      </c>
      <c r="H16" s="31" t="s">
        <v>114</v>
      </c>
    </row>
    <row r="17" spans="1:8" ht="15" customHeight="1" x14ac:dyDescent="0.35">
      <c r="A17" s="22" t="s">
        <v>36</v>
      </c>
      <c r="B17" s="24">
        <f>Varlıklar!C38</f>
        <v>1399606</v>
      </c>
      <c r="C17" s="24">
        <f>Varlıklar!D38</f>
        <v>1996745</v>
      </c>
      <c r="D17" s="25">
        <f t="shared" si="0"/>
        <v>1</v>
      </c>
      <c r="E17" s="25">
        <f t="shared" si="0"/>
        <v>1</v>
      </c>
      <c r="F17" s="26">
        <f t="shared" si="1"/>
        <v>0</v>
      </c>
      <c r="G17" s="25">
        <f t="shared" si="2"/>
        <v>0.42664792805975393</v>
      </c>
      <c r="H17" s="34" t="s">
        <v>115</v>
      </c>
    </row>
    <row r="19" spans="1:8" ht="15" customHeight="1" x14ac:dyDescent="0.35">
      <c r="A19" s="2" t="s">
        <v>116</v>
      </c>
      <c r="B19" s="6"/>
      <c r="C19" s="6"/>
      <c r="D19" s="6"/>
      <c r="E19" s="6"/>
      <c r="F19" s="6"/>
      <c r="G19" s="6"/>
      <c r="H19" s="27"/>
    </row>
    <row r="20" spans="1:8" ht="15" customHeight="1" x14ac:dyDescent="0.35">
      <c r="A20" s="16" t="s">
        <v>117</v>
      </c>
      <c r="B20" s="28">
        <f>Kaynaklar!C28</f>
        <v>339533</v>
      </c>
      <c r="C20" s="28">
        <f>Kaynaklar!D28</f>
        <v>442076</v>
      </c>
      <c r="D20" s="20">
        <f t="shared" ref="D20:E33" si="3">IFERROR(B20/B$33,"")</f>
        <v>0.24259184370458545</v>
      </c>
      <c r="E20" s="20">
        <f t="shared" si="3"/>
        <v>0.22139832577519913</v>
      </c>
      <c r="F20" s="21">
        <f t="shared" ref="F20:F33" si="4">IFERROR((C20/C$33)-(B20/B$33),"")</f>
        <v>-2.1193517929386313E-2</v>
      </c>
      <c r="G20" s="20">
        <f t="shared" ref="G20:G33" si="5">IFERROR((C20-B20)/ABS(B20),"")</f>
        <v>0.30201188102481941</v>
      </c>
      <c r="H20" s="29" t="s">
        <v>118</v>
      </c>
    </row>
    <row r="21" spans="1:8" ht="15" customHeight="1" x14ac:dyDescent="0.35">
      <c r="A21" s="7" t="s">
        <v>119</v>
      </c>
      <c r="B21" s="30">
        <f>Kaynaklar!C8+Kaynaklar!C10+Kaynaklar!C11</f>
        <v>65839</v>
      </c>
      <c r="C21" s="30">
        <f>Kaynaklar!D8+Kaynaklar!D10+Kaynaklar!D11</f>
        <v>76284</v>
      </c>
      <c r="D21" s="11">
        <f t="shared" si="3"/>
        <v>4.7041095851260997E-2</v>
      </c>
      <c r="E21" s="11">
        <f t="shared" si="3"/>
        <v>3.8204177298553396E-2</v>
      </c>
      <c r="F21" s="12">
        <f t="shared" si="4"/>
        <v>-8.8369185527076011E-3</v>
      </c>
      <c r="G21" s="11">
        <f t="shared" si="5"/>
        <v>0.15864457236592294</v>
      </c>
      <c r="H21" s="31" t="s">
        <v>120</v>
      </c>
    </row>
    <row r="22" spans="1:8" ht="15" customHeight="1" x14ac:dyDescent="0.35">
      <c r="A22" s="7" t="s">
        <v>121</v>
      </c>
      <c r="B22" s="30">
        <f>Kaynaklar!C12</f>
        <v>64571</v>
      </c>
      <c r="C22" s="30">
        <f>Kaynaklar!D12</f>
        <v>86152</v>
      </c>
      <c r="D22" s="11">
        <f t="shared" si="3"/>
        <v>4.6135126599914547E-2</v>
      </c>
      <c r="E22" s="11">
        <f t="shared" si="3"/>
        <v>4.3146220473821141E-2</v>
      </c>
      <c r="F22" s="12">
        <f t="shared" si="4"/>
        <v>-2.9889061260934061E-3</v>
      </c>
      <c r="G22" s="11">
        <f t="shared" si="5"/>
        <v>0.33422124483127102</v>
      </c>
      <c r="H22" s="31" t="s">
        <v>122</v>
      </c>
    </row>
    <row r="23" spans="1:8" ht="15" customHeight="1" x14ac:dyDescent="0.35">
      <c r="A23" s="7" t="s">
        <v>123</v>
      </c>
      <c r="B23" s="30">
        <f>Kaynaklar!C15+Kaynaklar!C16</f>
        <v>52792</v>
      </c>
      <c r="C23" s="30">
        <f>Kaynaklar!D15+Kaynaklar!D16</f>
        <v>78640</v>
      </c>
      <c r="D23" s="11">
        <f t="shared" si="3"/>
        <v>3.7719186685395749E-2</v>
      </c>
      <c r="E23" s="11">
        <f t="shared" si="3"/>
        <v>3.9384097618874715E-2</v>
      </c>
      <c r="F23" s="12">
        <f t="shared" si="4"/>
        <v>1.6649109334789663E-3</v>
      </c>
      <c r="G23" s="11">
        <f t="shared" si="5"/>
        <v>0.48961963933929381</v>
      </c>
      <c r="H23" s="31" t="s">
        <v>124</v>
      </c>
    </row>
    <row r="24" spans="1:8" ht="15" customHeight="1" x14ac:dyDescent="0.35">
      <c r="A24" s="7" t="s">
        <v>125</v>
      </c>
      <c r="B24" s="30">
        <f>Kaynaklar!C22</f>
        <v>104054</v>
      </c>
      <c r="C24" s="30">
        <f>Kaynaklar!D22</f>
        <v>151257</v>
      </c>
      <c r="D24" s="11">
        <f t="shared" si="3"/>
        <v>7.4345208580128982E-2</v>
      </c>
      <c r="E24" s="11">
        <f t="shared" si="3"/>
        <v>7.5751786031766702E-2</v>
      </c>
      <c r="F24" s="12">
        <f t="shared" si="4"/>
        <v>1.4065774516377194E-3</v>
      </c>
      <c r="G24" s="11">
        <f t="shared" si="5"/>
        <v>0.45363945643608128</v>
      </c>
      <c r="H24" s="31" t="s">
        <v>126</v>
      </c>
    </row>
    <row r="25" spans="1:8" ht="15" customHeight="1" x14ac:dyDescent="0.35">
      <c r="A25" s="16" t="s">
        <v>127</v>
      </c>
      <c r="B25" s="28">
        <f>Kaynaklar!C41</f>
        <v>380061</v>
      </c>
      <c r="C25" s="28">
        <f>Kaynaklar!D41</f>
        <v>643413</v>
      </c>
      <c r="D25" s="20">
        <f t="shared" si="3"/>
        <v>0.27154856438169028</v>
      </c>
      <c r="E25" s="20">
        <f t="shared" si="3"/>
        <v>0.32223093083994203</v>
      </c>
      <c r="F25" s="21">
        <f t="shared" si="4"/>
        <v>5.0682366458251749E-2</v>
      </c>
      <c r="G25" s="20">
        <f t="shared" si="5"/>
        <v>0.69292034699692939</v>
      </c>
      <c r="H25" s="29" t="s">
        <v>128</v>
      </c>
    </row>
    <row r="26" spans="1:8" ht="15" customHeight="1" x14ac:dyDescent="0.35">
      <c r="A26" s="7" t="s">
        <v>129</v>
      </c>
      <c r="B26" s="30">
        <f>Kaynaklar!C32</f>
        <v>1176</v>
      </c>
      <c r="C26" s="30">
        <f>Kaynaklar!D32</f>
        <v>48993</v>
      </c>
      <c r="D26" s="11">
        <f t="shared" si="3"/>
        <v>8.4023646654844296E-4</v>
      </c>
      <c r="E26" s="11">
        <f t="shared" si="3"/>
        <v>2.4536433044780381E-2</v>
      </c>
      <c r="F26" s="12">
        <f t="shared" si="4"/>
        <v>2.3696196578231937E-2</v>
      </c>
      <c r="G26" s="11">
        <f t="shared" si="5"/>
        <v>40.660714285714285</v>
      </c>
      <c r="H26" s="31" t="s">
        <v>130</v>
      </c>
    </row>
    <row r="27" spans="1:8" ht="15" customHeight="1" x14ac:dyDescent="0.35">
      <c r="A27" s="7" t="s">
        <v>131</v>
      </c>
      <c r="B27" s="30">
        <f>Kaynaklar!C33</f>
        <v>358353</v>
      </c>
      <c r="C27" s="30">
        <f>Kaynaklar!D33</f>
        <v>552824</v>
      </c>
      <c r="D27" s="11">
        <f t="shared" si="3"/>
        <v>0.25603848511652566</v>
      </c>
      <c r="E27" s="11">
        <f t="shared" si="3"/>
        <v>0.2768625938715259</v>
      </c>
      <c r="F27" s="12">
        <f t="shared" si="4"/>
        <v>2.0824108755000237E-2</v>
      </c>
      <c r="G27" s="11">
        <f t="shared" si="5"/>
        <v>0.54267998314511112</v>
      </c>
      <c r="H27" s="31" t="s">
        <v>132</v>
      </c>
    </row>
    <row r="28" spans="1:8" ht="15" customHeight="1" x14ac:dyDescent="0.35">
      <c r="A28" s="7" t="s">
        <v>133</v>
      </c>
      <c r="B28" s="30">
        <f>Kaynaklar!C37</f>
        <v>8725</v>
      </c>
      <c r="C28" s="30">
        <f>Kaynaklar!D37</f>
        <v>12110</v>
      </c>
      <c r="D28" s="11">
        <f t="shared" si="3"/>
        <v>6.2338972539414663E-3</v>
      </c>
      <c r="E28" s="11">
        <f t="shared" si="3"/>
        <v>6.0648705768638457E-3</v>
      </c>
      <c r="F28" s="12">
        <f t="shared" si="4"/>
        <v>-1.690266770776206E-4</v>
      </c>
      <c r="G28" s="11">
        <f t="shared" si="5"/>
        <v>0.38796561604584529</v>
      </c>
      <c r="H28" s="31" t="s">
        <v>134</v>
      </c>
    </row>
    <row r="29" spans="1:8" ht="15" customHeight="1" x14ac:dyDescent="0.35">
      <c r="A29" s="16" t="s">
        <v>135</v>
      </c>
      <c r="B29" s="28">
        <f>Kaynaklar!C59</f>
        <v>680012</v>
      </c>
      <c r="C29" s="28">
        <f>Kaynaklar!D59</f>
        <v>911256</v>
      </c>
      <c r="D29" s="20">
        <f t="shared" si="3"/>
        <v>0.4858595919137243</v>
      </c>
      <c r="E29" s="20">
        <f t="shared" si="3"/>
        <v>0.45637074338485883</v>
      </c>
      <c r="F29" s="21">
        <f t="shared" si="4"/>
        <v>-2.9488848528865463E-2</v>
      </c>
      <c r="G29" s="20">
        <f t="shared" si="5"/>
        <v>0.34005870484638506</v>
      </c>
      <c r="H29" s="29" t="s">
        <v>136</v>
      </c>
    </row>
    <row r="30" spans="1:8" ht="15" customHeight="1" x14ac:dyDescent="0.35">
      <c r="A30" s="7" t="s">
        <v>137</v>
      </c>
      <c r="B30" s="30">
        <f>Kaynaklar!C55</f>
        <v>228888</v>
      </c>
      <c r="C30" s="30">
        <f>Kaynaklar!D55</f>
        <v>332426</v>
      </c>
      <c r="D30" s="11">
        <f t="shared" si="3"/>
        <v>0.16353745268311226</v>
      </c>
      <c r="E30" s="11">
        <f t="shared" si="3"/>
        <v>0.16648395263291005</v>
      </c>
      <c r="F30" s="12">
        <f t="shared" si="4"/>
        <v>2.9464999497977873E-3</v>
      </c>
      <c r="G30" s="11">
        <f t="shared" si="5"/>
        <v>0.45235224214462971</v>
      </c>
      <c r="H30" s="31" t="s">
        <v>138</v>
      </c>
    </row>
    <row r="31" spans="1:8" ht="15" customHeight="1" x14ac:dyDescent="0.35">
      <c r="A31" s="7" t="s">
        <v>139</v>
      </c>
      <c r="B31" s="30">
        <f>Kaynaklar!C56</f>
        <v>113357</v>
      </c>
      <c r="C31" s="30">
        <f>Kaynaklar!D56</f>
        <v>118208</v>
      </c>
      <c r="D31" s="11">
        <f t="shared" si="3"/>
        <v>8.0992079199431841E-2</v>
      </c>
      <c r="E31" s="11">
        <f t="shared" si="3"/>
        <v>5.9200348567293268E-2</v>
      </c>
      <c r="F31" s="12">
        <f t="shared" si="4"/>
        <v>-2.1791730632138573E-2</v>
      </c>
      <c r="G31" s="11">
        <f t="shared" si="5"/>
        <v>4.2794004781354485E-2</v>
      </c>
      <c r="H31" s="31" t="s">
        <v>140</v>
      </c>
    </row>
    <row r="32" spans="1:8" ht="15" customHeight="1" x14ac:dyDescent="0.35">
      <c r="A32" s="7" t="s">
        <v>141</v>
      </c>
      <c r="B32" s="30">
        <f>Kaynaklar!C50</f>
        <v>281666</v>
      </c>
      <c r="C32" s="30">
        <f>Kaynaklar!D50</f>
        <v>428085</v>
      </c>
      <c r="D32" s="11">
        <f t="shared" si="3"/>
        <v>0.20124663655343003</v>
      </c>
      <c r="E32" s="11">
        <f t="shared" si="3"/>
        <v>0.21439142203936906</v>
      </c>
      <c r="F32" s="12">
        <f t="shared" si="4"/>
        <v>1.3144785485939031E-2</v>
      </c>
      <c r="G32" s="11">
        <f t="shared" si="5"/>
        <v>0.51983199960236592</v>
      </c>
      <c r="H32" s="31" t="s">
        <v>142</v>
      </c>
    </row>
    <row r="33" spans="1:8" ht="15" customHeight="1" x14ac:dyDescent="0.35">
      <c r="A33" s="22" t="s">
        <v>90</v>
      </c>
      <c r="B33" s="24">
        <f>Kaynaklar!C61</f>
        <v>1399606</v>
      </c>
      <c r="C33" s="24">
        <f>Kaynaklar!D61</f>
        <v>1996745</v>
      </c>
      <c r="D33" s="25">
        <f t="shared" si="3"/>
        <v>1</v>
      </c>
      <c r="E33" s="25">
        <f t="shared" si="3"/>
        <v>1</v>
      </c>
      <c r="F33" s="26">
        <f t="shared" si="4"/>
        <v>0</v>
      </c>
      <c r="G33" s="25">
        <f t="shared" si="5"/>
        <v>0.42664792805975393</v>
      </c>
      <c r="H33" s="34" t="s">
        <v>115</v>
      </c>
    </row>
    <row r="35" spans="1:8" ht="15" customHeight="1" x14ac:dyDescent="0.35">
      <c r="A35" s="43" t="s">
        <v>143</v>
      </c>
      <c r="B35" s="43"/>
      <c r="C35" s="43"/>
      <c r="D35" s="43"/>
      <c r="E35" s="43"/>
      <c r="F35" s="43"/>
      <c r="G35" s="43"/>
      <c r="H35" s="43"/>
    </row>
    <row r="36" spans="1:8" ht="15" customHeight="1" x14ac:dyDescent="0.35">
      <c r="A36" s="43" t="s">
        <v>144</v>
      </c>
      <c r="B36" s="43"/>
      <c r="C36" s="43"/>
      <c r="D36" s="43"/>
      <c r="E36" s="43"/>
      <c r="F36" s="43"/>
      <c r="G36" s="43"/>
      <c r="H36" s="43"/>
    </row>
    <row r="37" spans="1:8" ht="15" customHeight="1" x14ac:dyDescent="0.35">
      <c r="A37" s="43" t="s">
        <v>145</v>
      </c>
      <c r="B37" s="43"/>
      <c r="C37" s="43"/>
      <c r="D37" s="43"/>
      <c r="E37" s="43"/>
      <c r="F37" s="43"/>
      <c r="G37" s="43"/>
      <c r="H37" s="43"/>
    </row>
  </sheetData>
  <mergeCells count="5">
    <mergeCell ref="A1:H1"/>
    <mergeCell ref="A2:H2"/>
    <mergeCell ref="A35:H35"/>
    <mergeCell ref="A36:H36"/>
    <mergeCell ref="A37:H3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9CDBF-E6B5-4FC6-96BC-0A91B33577E2}">
  <dimension ref="A1:F53"/>
  <sheetViews>
    <sheetView topLeftCell="A31" workbookViewId="0">
      <selection activeCell="C35" sqref="C35"/>
    </sheetView>
  </sheetViews>
  <sheetFormatPr defaultColWidth="8.6328125" defaultRowHeight="14.5" x14ac:dyDescent="0.35"/>
  <cols>
    <col min="1" max="1" width="62" customWidth="1"/>
    <col min="2" max="2" width="4" customWidth="1"/>
    <col min="3" max="4" width="16" customWidth="1"/>
    <col min="5" max="5" width="14" customWidth="1"/>
    <col min="6" max="6" width="12" customWidth="1"/>
  </cols>
  <sheetData>
    <row r="1" spans="1:6" ht="21.75" customHeight="1" x14ac:dyDescent="0.35">
      <c r="A1" s="40" t="s">
        <v>218</v>
      </c>
      <c r="B1" s="40"/>
      <c r="C1" s="40"/>
      <c r="D1" s="40"/>
      <c r="E1" s="40"/>
      <c r="F1" s="40"/>
    </row>
    <row r="2" spans="1:6" x14ac:dyDescent="0.35">
      <c r="A2" s="41">
        <v>2021</v>
      </c>
      <c r="B2" s="41"/>
      <c r="C2" s="41"/>
      <c r="D2" s="41"/>
      <c r="E2" s="41"/>
      <c r="F2" s="41"/>
    </row>
    <row r="3" spans="1:6" x14ac:dyDescent="0.35">
      <c r="A3" s="42" t="s">
        <v>1</v>
      </c>
      <c r="B3" s="42"/>
      <c r="C3" s="42"/>
      <c r="D3" s="42"/>
      <c r="E3" s="42"/>
      <c r="F3" s="42"/>
    </row>
    <row r="5" spans="1:6" ht="27.75" customHeight="1" x14ac:dyDescent="0.35">
      <c r="A5" s="1" t="s">
        <v>2</v>
      </c>
      <c r="B5" s="1"/>
      <c r="C5" s="1">
        <v>2021</v>
      </c>
      <c r="D5" s="1"/>
      <c r="E5" s="1"/>
      <c r="F5" s="1" t="s">
        <v>7</v>
      </c>
    </row>
    <row r="6" spans="1:6" x14ac:dyDescent="0.35">
      <c r="A6" s="2" t="s">
        <v>178</v>
      </c>
      <c r="B6" s="6"/>
      <c r="C6" s="4"/>
      <c r="D6" s="4"/>
      <c r="E6" s="4"/>
      <c r="F6" s="5"/>
    </row>
    <row r="7" spans="1:6" x14ac:dyDescent="0.35">
      <c r="A7" s="7" t="s">
        <v>179</v>
      </c>
      <c r="C7" s="9">
        <f>+'[1]THY Konsolide Nakit Akış Tablos'!$C$4</f>
        <v>72306</v>
      </c>
      <c r="D7" s="9"/>
      <c r="E7" s="10"/>
      <c r="F7" s="11">
        <f t="shared" ref="F7:F23" si="0">IFERROR((D7-C7)/ABS(C7),"")</f>
        <v>-1</v>
      </c>
    </row>
    <row r="8" spans="1:6" x14ac:dyDescent="0.35">
      <c r="A8" s="7" t="s">
        <v>180</v>
      </c>
      <c r="C8" s="9">
        <v>33999</v>
      </c>
      <c r="D8" s="9"/>
      <c r="E8" s="10"/>
      <c r="F8" s="11">
        <f t="shared" si="0"/>
        <v>-1</v>
      </c>
    </row>
    <row r="9" spans="1:6" x14ac:dyDescent="0.35">
      <c r="A9" s="7" t="s">
        <v>181</v>
      </c>
      <c r="C9" s="9">
        <f>+'[1]THY Konsolide Nakit Akış Tablos'!$C$5</f>
        <v>3394</v>
      </c>
      <c r="D9" s="9"/>
      <c r="E9" s="10"/>
      <c r="F9" s="11">
        <f t="shared" si="0"/>
        <v>-1</v>
      </c>
    </row>
    <row r="10" spans="1:6" x14ac:dyDescent="0.35">
      <c r="A10" s="7" t="s">
        <v>182</v>
      </c>
      <c r="C10" s="9">
        <f>+'[1]THY Konsolide Nakit Akış Tablos'!$C$6</f>
        <v>304</v>
      </c>
      <c r="D10" s="9"/>
      <c r="E10" s="10"/>
      <c r="F10" s="11">
        <f t="shared" si="0"/>
        <v>-1</v>
      </c>
    </row>
    <row r="11" spans="1:6" x14ac:dyDescent="0.35">
      <c r="A11" s="7" t="str">
        <f>+'[1]THY Konsolide Nakit Akış Tablos'!$A$7</f>
        <v>Muhtemel Riskler için Ayrılan Karşılıklar ile İlgili Düzeltmeler</v>
      </c>
      <c r="C11" s="9">
        <f>+'[1]THY Konsolide Nakit Akış Tablos'!$C$7</f>
        <v>-8</v>
      </c>
      <c r="D11" s="9"/>
      <c r="E11" s="10"/>
      <c r="F11" s="11"/>
    </row>
    <row r="12" spans="1:6" x14ac:dyDescent="0.35">
      <c r="A12" s="7" t="s">
        <v>183</v>
      </c>
      <c r="C12" s="9">
        <f>+'[1]THY Konsolide Nakit Akış Tablos'!$C$8</f>
        <v>-53453</v>
      </c>
      <c r="D12" s="9"/>
      <c r="E12" s="10"/>
      <c r="F12" s="11">
        <f t="shared" si="0"/>
        <v>1</v>
      </c>
    </row>
    <row r="13" spans="1:6" x14ac:dyDescent="0.35">
      <c r="A13" s="7" t="s">
        <v>184</v>
      </c>
      <c r="C13" s="9">
        <f>+'[1]THY Konsolide Nakit Akış Tablos'!$C$9</f>
        <v>21107</v>
      </c>
      <c r="D13" s="9"/>
      <c r="E13" s="10"/>
      <c r="F13" s="11">
        <f t="shared" si="0"/>
        <v>-1</v>
      </c>
    </row>
    <row r="14" spans="1:6" x14ac:dyDescent="0.35">
      <c r="A14" s="7" t="s">
        <v>185</v>
      </c>
      <c r="C14" s="9">
        <f>+'[1]THY Konsolide Nakit Akış Tablos'!$C$10</f>
        <v>-15079</v>
      </c>
      <c r="D14" s="9"/>
      <c r="E14" s="10"/>
      <c r="F14" s="11">
        <f t="shared" si="0"/>
        <v>1</v>
      </c>
    </row>
    <row r="15" spans="1:6" x14ac:dyDescent="0.35">
      <c r="A15" s="7" t="s">
        <v>186</v>
      </c>
      <c r="C15" s="9">
        <f>+'[1]THY Konsolide Nakit Akış Tablos'!$C$11</f>
        <v>7612</v>
      </c>
      <c r="D15" s="9"/>
      <c r="E15" s="10"/>
      <c r="F15" s="11">
        <f t="shared" si="0"/>
        <v>-1</v>
      </c>
    </row>
    <row r="16" spans="1:6" x14ac:dyDescent="0.35">
      <c r="A16" s="7" t="str">
        <f>+'[1]THY Konsolide Nakit Akış Tablos'!$A$12</f>
        <v>Gerçeğe Uygun Değer Kayıpları ile İlgili Düzeltmeler</v>
      </c>
      <c r="C16" s="9">
        <f>+'[1]THY Konsolide Nakit Akış Tablos'!$C$12</f>
        <v>2575</v>
      </c>
      <c r="D16" s="9"/>
      <c r="E16" s="10"/>
      <c r="F16" s="11"/>
    </row>
    <row r="17" spans="1:6" x14ac:dyDescent="0.35">
      <c r="A17" s="7" t="str">
        <f>+'[1]THY Konsolide Nakit Akış Tablos'!$A$13</f>
        <v>İştiraklerin Dağıtılmamış Karları İle İlgili Düzeltmeler</v>
      </c>
      <c r="C17" s="9">
        <f>+'[1]THY Konsolide Nakit Akış Tablos'!$C$13</f>
        <v>-5919</v>
      </c>
      <c r="D17" s="9"/>
      <c r="E17" s="10"/>
      <c r="F17" s="11"/>
    </row>
    <row r="18" spans="1:6" x14ac:dyDescent="0.35">
      <c r="A18" s="7" t="s">
        <v>187</v>
      </c>
      <c r="C18" s="9">
        <f>+'[1]THY Konsolide Nakit Akış Tablos'!$C$14</f>
        <v>8064</v>
      </c>
      <c r="D18" s="9"/>
      <c r="E18" s="10"/>
      <c r="F18" s="11">
        <f t="shared" si="0"/>
        <v>-1</v>
      </c>
    </row>
    <row r="19" spans="1:6" x14ac:dyDescent="0.35">
      <c r="A19" s="7" t="s">
        <v>188</v>
      </c>
      <c r="C19" s="9">
        <f>+'[1]THY Konsolide Nakit Akış Tablos'!$C$15+'[1]THY Konsolide Nakit Akış Tablos'!$C$17+'[1]THY Konsolide Nakit Akış Tablos'!$C$16</f>
        <v>-5242</v>
      </c>
      <c r="D19" s="9"/>
      <c r="E19" s="10"/>
      <c r="F19" s="11">
        <f t="shared" si="0"/>
        <v>1</v>
      </c>
    </row>
    <row r="20" spans="1:6" x14ac:dyDescent="0.35">
      <c r="A20" s="16" t="s">
        <v>189</v>
      </c>
      <c r="B20" s="17"/>
      <c r="C20" s="18">
        <f>SUM(C7:C19)</f>
        <v>69660</v>
      </c>
      <c r="D20" s="18"/>
      <c r="E20" s="18"/>
      <c r="F20" s="35">
        <f t="shared" si="0"/>
        <v>-1</v>
      </c>
    </row>
    <row r="21" spans="1:6" x14ac:dyDescent="0.35">
      <c r="A21" s="7" t="s">
        <v>190</v>
      </c>
      <c r="C21" s="9">
        <f>SUM('[1]THY Konsolide Nakit Akış Tablos'!$C$20:$C$32)</f>
        <v>9319</v>
      </c>
      <c r="D21" s="9"/>
      <c r="E21" s="10"/>
      <c r="F21" s="11">
        <f t="shared" si="0"/>
        <v>-1</v>
      </c>
    </row>
    <row r="22" spans="1:6" x14ac:dyDescent="0.35">
      <c r="A22" s="7" t="s">
        <v>191</v>
      </c>
      <c r="C22" s="9">
        <f>SUM('[1]THY Konsolide Nakit Akış Tablos'!$C$35:$C$36)</f>
        <v>-1863</v>
      </c>
      <c r="D22" s="9"/>
      <c r="E22" s="10"/>
      <c r="F22" s="11">
        <f t="shared" si="0"/>
        <v>1</v>
      </c>
    </row>
    <row r="23" spans="1:6" x14ac:dyDescent="0.35">
      <c r="A23" s="22" t="s">
        <v>192</v>
      </c>
      <c r="B23" s="23"/>
      <c r="C23" s="24">
        <f>SUM(C20:C22)</f>
        <v>77116</v>
      </c>
      <c r="D23" s="24"/>
      <c r="E23" s="24"/>
      <c r="F23" s="36">
        <f t="shared" si="0"/>
        <v>-1</v>
      </c>
    </row>
    <row r="25" spans="1:6" x14ac:dyDescent="0.35">
      <c r="A25" s="2" t="s">
        <v>193</v>
      </c>
      <c r="B25" s="6"/>
      <c r="C25" s="4"/>
      <c r="D25" s="4"/>
      <c r="E25" s="4"/>
      <c r="F25" s="5"/>
    </row>
    <row r="26" spans="1:6" x14ac:dyDescent="0.35">
      <c r="A26" s="7" t="s">
        <v>194</v>
      </c>
      <c r="C26" s="9">
        <f>+'[1]THY Konsolide Nakit Akış Tablos'!$C$40</f>
        <v>-43963</v>
      </c>
      <c r="D26" s="9"/>
      <c r="E26" s="10"/>
      <c r="F26" s="11">
        <f>IFERROR((D26-C26)/ABS(C26),"")</f>
        <v>1</v>
      </c>
    </row>
    <row r="27" spans="1:6" x14ac:dyDescent="0.35">
      <c r="A27" s="7" t="s">
        <v>195</v>
      </c>
      <c r="C27" s="9">
        <f>+'[1]THY Konsolide Nakit Akış Tablos'!$C$39</f>
        <v>464</v>
      </c>
      <c r="D27" s="9"/>
      <c r="E27" s="10"/>
      <c r="F27" s="11">
        <f>IFERROR((D27-C27)/ABS(C27),"")</f>
        <v>-1</v>
      </c>
    </row>
    <row r="28" spans="1:6" x14ac:dyDescent="0.35">
      <c r="A28" s="7" t="s">
        <v>196</v>
      </c>
      <c r="C28" s="9"/>
      <c r="D28" s="9"/>
      <c r="E28" s="10"/>
      <c r="F28" s="11" t="str">
        <f>IFERROR((D28-C28)/ABS(C28),"")</f>
        <v/>
      </c>
    </row>
    <row r="29" spans="1:6" x14ac:dyDescent="0.35">
      <c r="A29" s="22" t="s">
        <v>197</v>
      </c>
      <c r="B29" s="23"/>
      <c r="C29" s="24">
        <f>SUM(C26:C28)</f>
        <v>-43499</v>
      </c>
      <c r="D29" s="24"/>
      <c r="E29" s="24"/>
      <c r="F29" s="36">
        <f>IFERROR((D29-C29)/ABS(C29),"")</f>
        <v>1</v>
      </c>
    </row>
    <row r="31" spans="1:6" x14ac:dyDescent="0.35">
      <c r="A31" s="2" t="s">
        <v>198</v>
      </c>
      <c r="B31" s="6"/>
      <c r="C31" s="4"/>
      <c r="D31" s="4"/>
      <c r="E31" s="4"/>
      <c r="F31" s="5"/>
    </row>
    <row r="32" spans="1:6" x14ac:dyDescent="0.35">
      <c r="A32" s="7" t="s">
        <v>199</v>
      </c>
      <c r="C32" s="9">
        <f>+'[1]THY Konsolide Nakit Akış Tablos'!$C$50</f>
        <v>90716</v>
      </c>
      <c r="D32" s="9"/>
      <c r="E32" s="10"/>
      <c r="F32" s="11">
        <f t="shared" ref="F32:F39" si="1">IFERROR((D32-C32)/ABS(C32),"")</f>
        <v>-1</v>
      </c>
    </row>
    <row r="33" spans="1:6" x14ac:dyDescent="0.35">
      <c r="A33" s="7" t="s">
        <v>200</v>
      </c>
      <c r="C33" s="9">
        <f>+'[1]THY Konsolide Nakit Akış Tablos'!$C$51</f>
        <v>-102308</v>
      </c>
      <c r="D33" s="9"/>
      <c r="E33" s="10"/>
      <c r="F33" s="11">
        <f t="shared" si="1"/>
        <v>1</v>
      </c>
    </row>
    <row r="34" spans="1:6" x14ac:dyDescent="0.35">
      <c r="A34" s="7" t="s">
        <v>201</v>
      </c>
      <c r="C34" s="9">
        <f>+'[1]THY Konsolide Nakit Akış Tablos'!$C$52</f>
        <v>-61522</v>
      </c>
      <c r="D34" s="9"/>
      <c r="E34" s="10"/>
      <c r="F34" s="11">
        <f t="shared" si="1"/>
        <v>1</v>
      </c>
    </row>
    <row r="35" spans="1:6" x14ac:dyDescent="0.35">
      <c r="A35" s="7" t="s">
        <v>202</v>
      </c>
      <c r="C35" s="9"/>
      <c r="D35" s="9"/>
      <c r="E35" s="10"/>
      <c r="F35" s="11" t="str">
        <f t="shared" si="1"/>
        <v/>
      </c>
    </row>
    <row r="36" spans="1:6" x14ac:dyDescent="0.35">
      <c r="A36" s="7" t="s">
        <v>203</v>
      </c>
      <c r="C36" s="9">
        <f>+'[1]THY Konsolide Nakit Akış Tablos'!$C$54</f>
        <v>-12543</v>
      </c>
      <c r="D36" s="9"/>
      <c r="E36" s="10"/>
      <c r="F36" s="11">
        <f t="shared" si="1"/>
        <v>1</v>
      </c>
    </row>
    <row r="37" spans="1:6" x14ac:dyDescent="0.35">
      <c r="A37" s="7" t="s">
        <v>204</v>
      </c>
      <c r="C37" s="9">
        <f>+'[1]THY Konsolide Nakit Akış Tablos'!$C$55</f>
        <v>10495</v>
      </c>
      <c r="D37" s="9"/>
      <c r="E37" s="10"/>
      <c r="F37" s="11">
        <f t="shared" si="1"/>
        <v>-1</v>
      </c>
    </row>
    <row r="38" spans="1:6" x14ac:dyDescent="0.35">
      <c r="A38" s="7" t="s">
        <v>205</v>
      </c>
      <c r="C38" s="9"/>
      <c r="D38" s="9"/>
      <c r="E38" s="10"/>
      <c r="F38" s="11" t="str">
        <f t="shared" si="1"/>
        <v/>
      </c>
    </row>
    <row r="39" spans="1:6" x14ac:dyDescent="0.35">
      <c r="A39" s="22" t="s">
        <v>206</v>
      </c>
      <c r="B39" s="23"/>
      <c r="C39" s="24">
        <f>SUM(C32:C38)</f>
        <v>-75162</v>
      </c>
      <c r="D39" s="24"/>
      <c r="E39" s="24"/>
      <c r="F39" s="37">
        <f t="shared" si="1"/>
        <v>1</v>
      </c>
    </row>
    <row r="41" spans="1:6" x14ac:dyDescent="0.35">
      <c r="A41" s="7" t="s">
        <v>207</v>
      </c>
      <c r="C41" s="9">
        <f>+'[1]THY Konsolide Nakit Akış Tablos'!$C$59</f>
        <v>-20894</v>
      </c>
      <c r="D41" s="9"/>
      <c r="E41" s="10"/>
      <c r="F41" s="11">
        <f>IFERROR((D41-C41)/ABS(C41),"")</f>
        <v>1</v>
      </c>
    </row>
    <row r="42" spans="1:6" x14ac:dyDescent="0.35">
      <c r="A42" s="16" t="s">
        <v>208</v>
      </c>
      <c r="B42" s="17"/>
      <c r="C42" s="18"/>
      <c r="D42" s="18"/>
      <c r="E42" s="18"/>
      <c r="F42" s="35" t="str">
        <f>IFERROR((D42-C42)/ABS(C42),"")</f>
        <v/>
      </c>
    </row>
    <row r="43" spans="1:6" x14ac:dyDescent="0.35">
      <c r="A43" s="7" t="s">
        <v>209</v>
      </c>
      <c r="C43" s="9">
        <f>+'[1]THY Konsolide Nakit Akış Tablos'!$C$61</f>
        <v>19941</v>
      </c>
      <c r="D43" s="9"/>
      <c r="E43" s="10"/>
      <c r="F43" s="11">
        <f>IFERROR((D43-C43)/ABS(C43),"")</f>
        <v>-1</v>
      </c>
    </row>
    <row r="44" spans="1:6" x14ac:dyDescent="0.35">
      <c r="A44" s="22" t="s">
        <v>210</v>
      </c>
      <c r="B44" s="23"/>
      <c r="C44" s="24">
        <f>+C43+C42</f>
        <v>19941</v>
      </c>
      <c r="D44" s="24"/>
      <c r="E44" s="24"/>
      <c r="F44" s="37">
        <f>IFERROR((D44-C44)/ABS(C44),"")</f>
        <v>-1</v>
      </c>
    </row>
    <row r="48" spans="1:6" x14ac:dyDescent="0.35">
      <c r="A48" s="2" t="s">
        <v>211</v>
      </c>
      <c r="B48" s="6"/>
      <c r="C48" s="4"/>
      <c r="D48" s="4"/>
      <c r="E48" s="4"/>
      <c r="F48" s="5"/>
    </row>
    <row r="49" spans="1:6" x14ac:dyDescent="0.35">
      <c r="A49" s="7" t="s">
        <v>212</v>
      </c>
      <c r="C49" s="9">
        <v>95992</v>
      </c>
      <c r="D49" s="9"/>
      <c r="E49" s="10"/>
      <c r="F49" s="11">
        <f>IFERROR((D49-C49)/ABS(C49),"")</f>
        <v>-1</v>
      </c>
    </row>
    <row r="50" spans="1:6" x14ac:dyDescent="0.35">
      <c r="A50" s="38" t="s">
        <v>213</v>
      </c>
      <c r="C50" s="39">
        <f>C49-C44</f>
        <v>76051</v>
      </c>
      <c r="D50" s="39"/>
    </row>
    <row r="51" spans="1:6" x14ac:dyDescent="0.35">
      <c r="A51" s="43" t="s">
        <v>214</v>
      </c>
      <c r="B51" s="43"/>
      <c r="C51" s="43"/>
      <c r="D51" s="43"/>
      <c r="E51" s="43"/>
      <c r="F51" s="43"/>
    </row>
    <row r="53" spans="1:6" x14ac:dyDescent="0.35">
      <c r="A53" s="43" t="s">
        <v>215</v>
      </c>
      <c r="B53" s="43"/>
      <c r="C53" s="43"/>
      <c r="D53" s="43"/>
      <c r="E53" s="43"/>
      <c r="F53" s="43"/>
    </row>
  </sheetData>
  <mergeCells count="5">
    <mergeCell ref="A1:F1"/>
    <mergeCell ref="A2:F2"/>
    <mergeCell ref="A3:F3"/>
    <mergeCell ref="A51:F51"/>
    <mergeCell ref="A53:F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Gelir Tablosu</vt:lpstr>
      <vt:lpstr>Nakit Akış</vt:lpstr>
      <vt:lpstr>Varlıklar</vt:lpstr>
      <vt:lpstr>Kaynaklar</vt:lpstr>
      <vt:lpstr>Dikey Analiz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RZilan</dc:creator>
  <cp:lastModifiedBy>Ruken Zilan</cp:lastModifiedBy>
  <dcterms:created xsi:type="dcterms:W3CDTF">2026-05-12T10:19:12Z</dcterms:created>
  <dcterms:modified xsi:type="dcterms:W3CDTF">2026-06-21T10:37:20Z</dcterms:modified>
</cp:coreProperties>
</file>